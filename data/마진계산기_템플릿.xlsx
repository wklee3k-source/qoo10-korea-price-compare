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마진계산기" sheetId="1" state="visible" r:id="rId3"/>
    <sheet name="kse요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<sst xmlns="http://schemas.openxmlformats.org/spreadsheetml/2006/main" count="85" uniqueCount="72">
  <si>
    <r>
      <rPr>
        <sz val="11"/>
        <rFont val="맑은 고딕"/>
        <family val="0"/>
        <charset val="1"/>
      </rPr>
      <t xml:space="preserve">2. </t>
    </r>
    <r>
      <rPr>
        <sz val="11"/>
        <rFont val="Noto Sans CJK SC"/>
        <family val="2"/>
      </rPr>
      <t xml:space="preserve">마진율을 먼저 설정하는 방식입니다</t>
    </r>
    <r>
      <rPr>
        <sz val="11"/>
        <rFont val="맑은 고딕"/>
        <family val="0"/>
        <charset val="1"/>
      </rPr>
      <t xml:space="preserve">.</t>
    </r>
  </si>
  <si>
    <t xml:space="preserve">no.</t>
  </si>
  <si>
    <t xml:space="preserve">등록일</t>
  </si>
  <si>
    <t xml:space="preserve">상 품 명
(판매자상품코드)</t>
  </si>
  <si>
    <t xml:space="preserve">카테고리코드</t>
  </si>
  <si>
    <t xml:space="preserve">브랜드코드</t>
  </si>
  <si>
    <t xml:space="preserve">상 품 명</t>
  </si>
  <si>
    <t xml:space="preserve">브랜드</t>
  </si>
  <si>
    <t xml:space="preserve">카테고리</t>
  </si>
  <si>
    <t xml:space="preserve">소싱처
링크</t>
  </si>
  <si>
    <t xml:space="preserve">무게</t>
  </si>
  <si>
    <t xml:space="preserve">국내
구매가(정가)</t>
  </si>
  <si>
    <t xml:space="preserve">큐텐 판매가</t>
  </si>
  <si>
    <t xml:space="preserve">큐텐 배송비
(유료배송의 경우)</t>
  </si>
  <si>
    <t xml:space="preserve">적용환율</t>
  </si>
  <si>
    <t xml:space="preserve">수수료(16%)</t>
  </si>
  <si>
    <t xml:space="preserve">포장대행지
or
국내택배비</t>
  </si>
  <si>
    <t xml:space="preserve">배대지 배송비
(한국-&gt;일본)</t>
  </si>
  <si>
    <t xml:space="preserve">수출신고
대행비용</t>
  </si>
  <si>
    <t xml:space="preserve">마진</t>
  </si>
  <si>
    <t xml:space="preserve">부가세
환급</t>
  </si>
  <si>
    <t xml:space="preserve">최종마진</t>
  </si>
  <si>
    <t xml:space="preserve">부가세
환급후
마진률</t>
  </si>
  <si>
    <t xml:space="preserve">26.07.19</t>
  </si>
  <si>
    <r>
      <rPr>
        <sz val="11"/>
        <color theme="1"/>
        <rFont val="Calibri"/>
        <family val="2"/>
        <charset val="1"/>
      </rPr>
      <t xml:space="preserve">268. celimax </t>
    </r>
    <r>
      <rPr>
        <sz val="11"/>
        <color theme="1"/>
        <rFont val="Noto Sans CJK SC"/>
        <family val="2"/>
      </rPr>
      <t xml:space="preserve">하트 핑크 톤업 선크림 </t>
    </r>
    <r>
      <rPr>
        <sz val="11"/>
        <color theme="1"/>
        <rFont val="Calibri"/>
        <family val="2"/>
        <charset val="1"/>
      </rPr>
      <t xml:space="preserve">40ml</t>
    </r>
  </si>
  <si>
    <t xml:space="preserve">320001741</t>
  </si>
  <si>
    <t xml:space="preserve">65704</t>
  </si>
  <si>
    <t xml:space="preserve">ハートピンクトーンアップUVクリーム SPF50+ PA++++ 40ml 日焼け止め 韓国コスメ</t>
  </si>
  <si>
    <t xml:space="preserve">celimax</t>
  </si>
  <si>
    <t xml:space="preserve">선크림・로션</t>
  </si>
  <si>
    <t xml:space="preserve">바로가기</t>
  </si>
  <si>
    <r>
      <rPr>
        <sz val="11"/>
        <color theme="1"/>
        <rFont val="Calibri"/>
        <family val="2"/>
        <charset val="1"/>
      </rPr>
      <t xml:space="preserve">269. Sung Boon Editor </t>
    </r>
    <r>
      <rPr>
        <sz val="11"/>
        <color theme="1"/>
        <rFont val="Noto Sans CJK SC"/>
        <family val="2"/>
      </rPr>
      <t xml:space="preserve">그린토마토 딥포어 클린 엔자임 파우더워시</t>
    </r>
  </si>
  <si>
    <t xml:space="preserve">320001641</t>
  </si>
  <si>
    <t xml:space="preserve">113035</t>
  </si>
  <si>
    <t xml:space="preserve">グリーントマト ディープポア クリーン エンザイム パウダーウォッシュ 50g / 韓国化粧品</t>
  </si>
  <si>
    <t xml:space="preserve">Sung Boon Editor</t>
  </si>
  <si>
    <t xml:space="preserve">세안 파우더</t>
  </si>
  <si>
    <r>
      <rPr>
        <sz val="11"/>
        <color theme="1"/>
        <rFont val="Calibri"/>
        <family val="2"/>
        <charset val="1"/>
      </rPr>
      <t xml:space="preserve">270. GROWUS </t>
    </r>
    <r>
      <rPr>
        <sz val="11"/>
        <color theme="1"/>
        <rFont val="Noto Sans CJK SC"/>
        <family val="2"/>
      </rPr>
      <t xml:space="preserve">데미지 테라피 노워시 트리트먼트 </t>
    </r>
    <r>
      <rPr>
        <sz val="11"/>
        <color theme="1"/>
        <rFont val="Calibri"/>
        <family val="2"/>
        <charset val="1"/>
      </rPr>
      <t xml:space="preserve">EX(Due Rose)</t>
    </r>
  </si>
  <si>
    <t xml:space="preserve">320001781</t>
  </si>
  <si>
    <t xml:space="preserve">109569</t>
  </si>
  <si>
    <t xml:space="preserve">【オリヤン１位】ダメージセラピーノーウォッシュトリートメントEX 250ml 2種</t>
  </si>
  <si>
    <t xml:space="preserve">GROWUS</t>
  </si>
  <si>
    <t xml:space="preserve">씻어내지 않는 트리트먼트</t>
  </si>
  <si>
    <r>
      <rPr>
        <sz val="11"/>
        <color theme="1"/>
        <rFont val="Calibri"/>
        <family val="2"/>
        <charset val="1"/>
      </rPr>
      <t xml:space="preserve">271. </t>
    </r>
    <r>
      <rPr>
        <sz val="11"/>
        <color theme="1"/>
        <rFont val="Noto Sans CJK SC"/>
        <family val="2"/>
      </rPr>
      <t xml:space="preserve">이니스프리 그린티 히알루론산 미스트 </t>
    </r>
    <r>
      <rPr>
        <sz val="11"/>
        <color theme="1"/>
        <rFont val="Calibri"/>
        <family val="2"/>
        <charset val="1"/>
      </rPr>
      <t xml:space="preserve">150mL</t>
    </r>
  </si>
  <si>
    <t xml:space="preserve">320001634</t>
  </si>
  <si>
    <t xml:space="preserve">20802</t>
  </si>
  <si>
    <t xml:space="preserve">グリーンティー ヒアルロン酸 ミスト150ml1本</t>
  </si>
  <si>
    <t xml:space="preserve">イニスフリー</t>
  </si>
  <si>
    <t xml:space="preserve">보습 미스트</t>
  </si>
  <si>
    <r>
      <rPr>
        <sz val="11"/>
        <color theme="1"/>
        <rFont val="Calibri"/>
        <family val="2"/>
        <charset val="1"/>
      </rPr>
      <t xml:space="preserve">272. </t>
    </r>
    <r>
      <rPr>
        <sz val="11"/>
        <color theme="1"/>
        <rFont val="Noto Sans CJK SC"/>
        <family val="2"/>
      </rPr>
      <t xml:space="preserve">헤어플러스 단백질 본드 모이스트 앰플 에센스 </t>
    </r>
    <r>
      <rPr>
        <sz val="11"/>
        <color theme="1"/>
        <rFont val="Calibri"/>
        <family val="2"/>
        <charset val="1"/>
      </rPr>
      <t xml:space="preserve">145ml</t>
    </r>
  </si>
  <si>
    <t xml:space="preserve">320001778</t>
  </si>
  <si>
    <t xml:space="preserve">58304</t>
  </si>
  <si>
    <t xml:space="preserve">プロテインボンド アンプル ヘアエッセンス 145ml 洗い流さないトリートメント 韓国ヘアケア</t>
  </si>
  <si>
    <t xml:space="preserve">ヘアプラス</t>
  </si>
  <si>
    <t xml:space="preserve">헤어 오일</t>
  </si>
  <si>
    <r>
      <rPr>
        <sz val="11"/>
        <color theme="1"/>
        <rFont val="Calibri"/>
        <family val="2"/>
        <charset val="1"/>
      </rPr>
      <t xml:space="preserve">273. </t>
    </r>
    <r>
      <rPr>
        <sz val="11"/>
        <color theme="1"/>
        <rFont val="Noto Sans CJK SC"/>
        <family val="2"/>
      </rPr>
      <t xml:space="preserve">로벡틴 닥터 마스크 시카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매입</t>
    </r>
  </si>
  <si>
    <t xml:space="preserve">320001628</t>
  </si>
  <si>
    <t xml:space="preserve">66535</t>
  </si>
  <si>
    <t xml:space="preserve">ドクターマスク シカ 5枚</t>
  </si>
  <si>
    <t xml:space="preserve">ロベクチン</t>
  </si>
  <si>
    <t xml:space="preserve">마스크 팩</t>
  </si>
  <si>
    <r>
      <rPr>
        <sz val="11"/>
        <color theme="1"/>
        <rFont val="Calibri"/>
        <family val="2"/>
        <charset val="1"/>
      </rPr>
      <t xml:space="preserve">274. KAHI </t>
    </r>
    <r>
      <rPr>
        <sz val="11"/>
        <color theme="1"/>
        <rFont val="Noto Sans CJK SC"/>
        <family val="2"/>
      </rPr>
      <t xml:space="preserve">멀티밤 리필키트 </t>
    </r>
    <r>
      <rPr>
        <sz val="11"/>
        <color theme="1"/>
        <rFont val="Calibri"/>
        <family val="2"/>
        <charset val="1"/>
      </rPr>
      <t xml:space="preserve">(9g) 2</t>
    </r>
    <r>
      <rPr>
        <sz val="11"/>
        <color theme="1"/>
        <rFont val="Noto Sans CJK SC"/>
        <family val="2"/>
      </rPr>
      <t xml:space="preserve">개</t>
    </r>
  </si>
  <si>
    <t xml:space="preserve">320001625</t>
  </si>
  <si>
    <t xml:space="preserve">103034</t>
  </si>
  <si>
    <t xml:space="preserve">マルチバームおかわりキット 9g x 2個</t>
  </si>
  <si>
    <t xml:space="preserve">KAHI</t>
  </si>
  <si>
    <t xml:space="preserve">올인원</t>
  </si>
  <si>
    <t xml:space="preserve">※ 무게는 실제 제품 내용물 추정치를 kse요율표 구간으로 올림한 뒤 2단계 더 올리고, 최소 0.75kg을 적용한 값입니다. 실측 아님, 확인 후 수정 권장.</t>
  </si>
  <si>
    <t xml:space="preserve">※ 국내구매가는 각 공식몰/무신사에 표시된 소비자가(정가) 기준입니다. 세일 종료 시 변동될 수 있습니다.</t>
  </si>
  <si>
    <r>
      <rPr>
        <b val="true"/>
        <sz val="12"/>
        <rFont val="맑은 고딕"/>
        <family val="0"/>
        <charset val="1"/>
      </rPr>
      <t xml:space="preserve">KSE </t>
    </r>
    <r>
      <rPr>
        <b val="true"/>
        <sz val="12"/>
        <rFont val="Noto Sans CJK SC"/>
        <family val="2"/>
      </rPr>
      <t xml:space="preserve">요율표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해상</t>
    </r>
    <r>
      <rPr>
        <b val="true"/>
        <sz val="12"/>
        <rFont val="맑은 고딕"/>
        <family val="0"/>
        <charset val="1"/>
      </rPr>
      <t xml:space="preserve">)</t>
    </r>
  </si>
  <si>
    <t xml:space="preserve">배송비(엔화)</t>
  </si>
  <si>
    <t xml:space="preserve">배송비(원화)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</si>
</sst>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_-;_-@_-"/>
    <numFmt numFmtId="166" formatCode="\₩#,##0_);&quot;(₩&quot;#,##0\)"/>
    <numFmt numFmtId="167" formatCode="[$¥-411]#,##0"/>
    <numFmt numFmtId="168" formatCode="\¥#,##0"/>
    <numFmt numFmtId="169" formatCode="_-* #,##0_-;\-* #,##0_-;_-* \-_-;_-@_-"/>
    <numFmt numFmtId="170" formatCode="0%"/>
    <numFmt numFmtId="171" formatCode="\₩#,##0"/>
    <numFmt numFmtId="172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맑은 고딕"/>
      <family val="0"/>
      <charset val="1"/>
    </font>
    <font>
      <sz val="11"/>
      <name val="Noto Sans CJK SC"/>
      <family val="2"/>
    </font>
    <font>
      <b val="true"/>
      <sz val="11"/>
      <color rgb="FF000000"/>
      <name val="맑은 고딕"/>
      <family val="0"/>
      <charset val="1"/>
    </font>
    <font>
      <b val="true"/>
      <sz val="11"/>
      <color rgb="FF000000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Noto Sans CJK SC"/>
      <family val="2"/>
      <charset val="1"/>
    </font>
    <font>
      <u val="single"/>
      <sz val="11"/>
      <color rgb="FF0563C1"/>
      <name val="Noto Sans CJK SC"/>
      <family val="2"/>
      <charset val="1"/>
    </font>
    <font>
      <sz val="9"/>
      <color rgb="FF666666"/>
      <name val="Noto Sans CJK SC"/>
      <family val="2"/>
      <charset val="1"/>
    </font>
    <font>
      <b val="true"/>
      <sz val="12"/>
      <name val="맑은 고딕"/>
      <family val="0"/>
      <charset val="1"/>
    </font>
    <font>
      <b val="true"/>
      <sz val="12"/>
      <name val="Noto Sans CJK SC"/>
      <family val="2"/>
    </font>
    <font>
      <b val="true"/>
      <sz val="1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DD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D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elimax.co.kr/product/&#54616;&#53944;&#54609;&#53356;-&#53668;&#50629;-&#49440;&#53356;&#47548;-40ml/54/" TargetMode="External"/><Relationship Id="rId2" Type="http://schemas.openxmlformats.org/officeDocument/2006/relationships/hyperlink" Target="https://sungboon.com/product/&#44536;&#47536;&#53664;&#47560;&#53664;-&#46373;&#54252;&#50612;-&#53364;&#47536;-&#50644;&#51088;&#51076;-&#54028;&#50864;&#45908;&#50892;&#49884;/517/category/262/display/1/" TargetMode="External"/><Relationship Id="rId3" Type="http://schemas.openxmlformats.org/officeDocument/2006/relationships/hyperlink" Target="https://growus.kr/products/108131871" TargetMode="External"/><Relationship Id="rId4" Type="http://schemas.openxmlformats.org/officeDocument/2006/relationships/hyperlink" Target="https://www.musinsa.com/products/3229444" TargetMode="External"/><Relationship Id="rId5" Type="http://schemas.openxmlformats.org/officeDocument/2006/relationships/hyperlink" Target="https://www.hairplus.co.kr/goods/goods_view.php?goodsNo=1000000035" TargetMode="External"/><Relationship Id="rId6" Type="http://schemas.openxmlformats.org/officeDocument/2006/relationships/hyperlink" Target="https://rovectin.co.kr/product/&#53944;&#47084;&#48660;&#51652;&#51221;-&#45797;&#53552;-&#47560;&#49828;&#53356;-&#49884;&#52852;-5&#47588;&#51077;/211/" TargetMode="External"/><Relationship Id="rId7" Type="http://schemas.openxmlformats.org/officeDocument/2006/relationships/hyperlink" Target="https://kahicosmetics.co.kr/product/&#44032;&#55176;-&#47680;&#54000;&#48164;-&#47532;&#54596;&#53412;&#53944;-9g-x-2&#44060;/14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K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38"/>
    <col collapsed="false" customWidth="true" hidden="false" outlineLevel="0" max="2" min="2" style="1" width="11.62"/>
    <col collapsed="false" customWidth="true" hidden="false" outlineLevel="0" max="3" min="3" style="1" width="44.87"/>
    <col collapsed="false" customWidth="true" hidden="false" outlineLevel="0" max="4" min="4" style="1" width="11.62"/>
    <col collapsed="false" customWidth="true" hidden="false" outlineLevel="0" max="5" min="5" style="1" width="13"/>
    <col collapsed="false" customWidth="true" hidden="false" outlineLevel="0" max="7" min="6" style="1" width="11.62"/>
    <col collapsed="false" customWidth="true" hidden="false" outlineLevel="0" max="8" min="8" style="1" width="13"/>
    <col collapsed="false" customWidth="true" hidden="false" outlineLevel="0" max="9" min="9" style="1" width="6.51"/>
    <col collapsed="false" customWidth="true" hidden="false" outlineLevel="0" max="11" min="11" style="1" width="12.13"/>
    <col collapsed="false" customWidth="true" hidden="false" outlineLevel="0" max="12" min="12" style="1" width="11.5"/>
    <col collapsed="false" customWidth="true" hidden="false" outlineLevel="0" max="13" min="13" style="1" width="11.38"/>
    <col collapsed="false" customWidth="true" hidden="false" outlineLevel="0" max="14" min="14" style="1" width="10.38"/>
    <col collapsed="false" customWidth="true" hidden="false" outlineLevel="0" max="15" min="15" style="1" width="13.13"/>
    <col collapsed="false" customWidth="true" hidden="false" outlineLevel="0" max="16" min="16" style="1" width="13.87"/>
    <col collapsed="false" customWidth="true" hidden="false" outlineLevel="0" max="17" min="17" style="1" width="16.12"/>
    <col collapsed="false" customWidth="true" hidden="false" outlineLevel="0" max="18" min="18" style="1" width="11.87"/>
    <col collapsed="false" customWidth="true" hidden="false" outlineLevel="0" max="21" min="19" style="1" width="13"/>
    <col collapsed="false" customWidth="true" hidden="false" outlineLevel="0" max="22" min="22" style="1" width="10.62"/>
  </cols>
  <sheetData>
    <row r="1" customFormat="false" ht="16.5" hidden="false" customHeight="true" outlineLevel="0" collapsed="false">
      <c r="A1" s="2" t="s">
        <v>0</v>
      </c>
    </row>
    <row r="2" customFormat="false" ht="78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</row>
    <row r="3" customFormat="false" ht="30" hidden="false" customHeight="true" outlineLevel="0" collapsed="false">
      <c r="A3" s="5" t="n">
        <v>268</v>
      </c>
      <c r="B3" s="5" t="s">
        <v>23</v>
      </c>
      <c r="C3" s="6" t="s">
        <v>24</v>
      </c>
      <c r="D3" s="5" t="s">
        <v>25</v>
      </c>
      <c r="E3" s="5" t="s">
        <v>26</v>
      </c>
      <c r="F3" s="7" t="s">
        <v>27</v>
      </c>
      <c r="G3" s="5" t="s">
        <v>28</v>
      </c>
      <c r="H3" s="8" t="s">
        <v>29</v>
      </c>
      <c r="I3" s="9" t="s">
        <v>30</v>
      </c>
      <c r="J3" s="10" t="n">
        <v>0.75</v>
      </c>
      <c r="K3" s="11" t="n">
        <v>20000</v>
      </c>
      <c r="L3" s="12" t="n">
        <f aca="false">(K3+P3+Q3+R3-K3/11)/(1-V3-O3)/N3*100</f>
        <v>3980.52897395003</v>
      </c>
      <c r="M3" s="13" t="n">
        <v>0</v>
      </c>
      <c r="N3" s="14" t="n">
        <v>950</v>
      </c>
      <c r="O3" s="15" t="n">
        <v>0.16</v>
      </c>
      <c r="P3" s="11" t="n">
        <v>2080</v>
      </c>
      <c r="Q3" s="16" t="n">
        <f aca="false">VLOOKUP(J3,kse요율!$A$4:$C$28,3,0)</f>
        <v>6800</v>
      </c>
      <c r="R3" s="16" t="n">
        <v>165</v>
      </c>
      <c r="S3" s="16" t="n">
        <f aca="false">(L3+M3)*N3/100*(1-O3)-K3-P3-Q3-R3</f>
        <v>2719.62121212121</v>
      </c>
      <c r="T3" s="16" t="n">
        <f aca="false">ROUNDUP((K3+P3)*0.090909,0)</f>
        <v>2008</v>
      </c>
      <c r="U3" s="16" t="n">
        <f aca="false">S3+T3</f>
        <v>4727.62121212121</v>
      </c>
      <c r="V3" s="17" t="n">
        <v>0.12</v>
      </c>
    </row>
    <row r="4" customFormat="false" ht="30" hidden="false" customHeight="true" outlineLevel="0" collapsed="false">
      <c r="A4" s="5" t="n">
        <v>269</v>
      </c>
      <c r="B4" s="5" t="s">
        <v>23</v>
      </c>
      <c r="C4" s="6" t="s">
        <v>31</v>
      </c>
      <c r="D4" s="5" t="s">
        <v>32</v>
      </c>
      <c r="E4" s="5" t="s">
        <v>33</v>
      </c>
      <c r="F4" s="7" t="s">
        <v>34</v>
      </c>
      <c r="G4" s="5" t="s">
        <v>35</v>
      </c>
      <c r="H4" s="8" t="s">
        <v>36</v>
      </c>
      <c r="I4" s="9" t="s">
        <v>30</v>
      </c>
      <c r="J4" s="10" t="n">
        <v>0.75</v>
      </c>
      <c r="K4" s="11" t="n">
        <v>32000</v>
      </c>
      <c r="L4" s="12" t="n">
        <f aca="false">(K4+P4+Q4+R4-K4/11)/(1-V4-O4)/N4*100</f>
        <v>5575.42530568846</v>
      </c>
      <c r="M4" s="13" t="n">
        <v>0</v>
      </c>
      <c r="N4" s="14" t="n">
        <v>950</v>
      </c>
      <c r="O4" s="15" t="n">
        <v>0.16</v>
      </c>
      <c r="P4" s="11" t="n">
        <v>2080</v>
      </c>
      <c r="Q4" s="16" t="n">
        <f aca="false">VLOOKUP(J4,kse요율!$A$4:$C$28,3,0)</f>
        <v>6800</v>
      </c>
      <c r="R4" s="16" t="n">
        <v>165</v>
      </c>
      <c r="S4" s="16" t="n">
        <f aca="false">(L4+M4)*N4/100*(1-O4)-K4-P4-Q4-R4</f>
        <v>3446.89393939394</v>
      </c>
      <c r="T4" s="16" t="n">
        <f aca="false">ROUNDUP((K4+P4)*0.090909,0)</f>
        <v>3099</v>
      </c>
      <c r="U4" s="16" t="n">
        <f aca="false">S4+T4</f>
        <v>6545.89393939394</v>
      </c>
      <c r="V4" s="17" t="n">
        <v>0.12</v>
      </c>
    </row>
    <row r="5" customFormat="false" ht="30" hidden="false" customHeight="true" outlineLevel="0" collapsed="false">
      <c r="A5" s="5" t="n">
        <v>270</v>
      </c>
      <c r="B5" s="5" t="s">
        <v>23</v>
      </c>
      <c r="C5" s="6" t="s">
        <v>37</v>
      </c>
      <c r="D5" s="5" t="s">
        <v>38</v>
      </c>
      <c r="E5" s="5" t="s">
        <v>39</v>
      </c>
      <c r="F5" s="7" t="s">
        <v>40</v>
      </c>
      <c r="G5" s="5" t="s">
        <v>41</v>
      </c>
      <c r="H5" s="8" t="s">
        <v>42</v>
      </c>
      <c r="I5" s="9" t="s">
        <v>30</v>
      </c>
      <c r="J5" s="10" t="n">
        <v>1</v>
      </c>
      <c r="K5" s="11" t="n">
        <v>20800</v>
      </c>
      <c r="L5" s="12" t="n">
        <f aca="false">(K5+P5+Q5+R5-K5/11)/(1-V5-O5)/N5*100</f>
        <v>4145.33492822967</v>
      </c>
      <c r="M5" s="13" t="n">
        <v>0</v>
      </c>
      <c r="N5" s="14" t="n">
        <v>950</v>
      </c>
      <c r="O5" s="15" t="n">
        <v>0.16</v>
      </c>
      <c r="P5" s="11" t="n">
        <v>2080</v>
      </c>
      <c r="Q5" s="16" t="n">
        <f aca="false">VLOOKUP(J5,kse요율!$A$4:$C$28,3,0)</f>
        <v>7200</v>
      </c>
      <c r="R5" s="16" t="n">
        <v>165</v>
      </c>
      <c r="S5" s="16" t="n">
        <f aca="false">(L5+M5)*N5/100*(1-O5)-K5-P5-Q5-R5</f>
        <v>2834.77272727273</v>
      </c>
      <c r="T5" s="16" t="n">
        <f aca="false">ROUNDUP((K5+P5)*0.090909,0)</f>
        <v>2080</v>
      </c>
      <c r="U5" s="16" t="n">
        <f aca="false">S5+T5</f>
        <v>4914.77272727273</v>
      </c>
      <c r="V5" s="17" t="n">
        <v>0.12</v>
      </c>
    </row>
    <row r="6" customFormat="false" ht="30" hidden="false" customHeight="true" outlineLevel="0" collapsed="false">
      <c r="A6" s="5" t="n">
        <v>271</v>
      </c>
      <c r="B6" s="5" t="s">
        <v>23</v>
      </c>
      <c r="C6" s="6" t="s">
        <v>43</v>
      </c>
      <c r="D6" s="5" t="s">
        <v>44</v>
      </c>
      <c r="E6" s="5" t="s">
        <v>45</v>
      </c>
      <c r="F6" s="7" t="s">
        <v>46</v>
      </c>
      <c r="G6" s="8" t="s">
        <v>47</v>
      </c>
      <c r="H6" s="8" t="s">
        <v>48</v>
      </c>
      <c r="I6" s="9" t="s">
        <v>30</v>
      </c>
      <c r="J6" s="10" t="n">
        <v>0.75</v>
      </c>
      <c r="K6" s="11" t="n">
        <v>13000</v>
      </c>
      <c r="L6" s="12" t="n">
        <f aca="false">(K6+P6+Q6+R6-K6/11)/(1-V6-O6)/N6*100</f>
        <v>3050.17278043594</v>
      </c>
      <c r="M6" s="13" t="n">
        <v>0</v>
      </c>
      <c r="N6" s="14" t="n">
        <v>950</v>
      </c>
      <c r="O6" s="15" t="n">
        <v>0.16</v>
      </c>
      <c r="P6" s="11" t="n">
        <v>2080</v>
      </c>
      <c r="Q6" s="16" t="n">
        <f aca="false">VLOOKUP(J6,kse요율!$A$4:$C$28,3,0)</f>
        <v>6800</v>
      </c>
      <c r="R6" s="16" t="n">
        <v>165</v>
      </c>
      <c r="S6" s="16" t="n">
        <f aca="false">(L6+M6)*N6/100*(1-O6)-K6-P6-Q6-R6</f>
        <v>2295.37878787879</v>
      </c>
      <c r="T6" s="16" t="n">
        <f aca="false">ROUNDUP((K6+P6)*0.090909,0)</f>
        <v>1371</v>
      </c>
      <c r="U6" s="16" t="n">
        <f aca="false">S6+T6</f>
        <v>3666.37878787879</v>
      </c>
      <c r="V6" s="17" t="n">
        <v>0.12</v>
      </c>
    </row>
    <row r="7" customFormat="false" ht="30" hidden="false" customHeight="true" outlineLevel="0" collapsed="false">
      <c r="A7" s="5" t="n">
        <v>272</v>
      </c>
      <c r="B7" s="5" t="s">
        <v>23</v>
      </c>
      <c r="C7" s="6" t="s">
        <v>49</v>
      </c>
      <c r="D7" s="5" t="s">
        <v>50</v>
      </c>
      <c r="E7" s="5" t="s">
        <v>51</v>
      </c>
      <c r="F7" s="7" t="s">
        <v>52</v>
      </c>
      <c r="G7" s="8" t="s">
        <v>53</v>
      </c>
      <c r="H7" s="8" t="s">
        <v>54</v>
      </c>
      <c r="I7" s="9" t="s">
        <v>30</v>
      </c>
      <c r="J7" s="10" t="n">
        <v>0.75</v>
      </c>
      <c r="K7" s="11" t="n">
        <v>19900</v>
      </c>
      <c r="L7" s="12" t="n">
        <f aca="false">(K7+P7+Q7+R7-K7/11)/(1-V7-O7)/N7*100</f>
        <v>3967.23817118554</v>
      </c>
      <c r="M7" s="13" t="n">
        <v>0</v>
      </c>
      <c r="N7" s="14" t="n">
        <v>950</v>
      </c>
      <c r="O7" s="15" t="n">
        <v>0.16</v>
      </c>
      <c r="P7" s="11" t="n">
        <v>2080</v>
      </c>
      <c r="Q7" s="16" t="n">
        <f aca="false">VLOOKUP(J7,kse요율!$A$4:$C$28,3,0)</f>
        <v>6800</v>
      </c>
      <c r="R7" s="16" t="n">
        <v>165</v>
      </c>
      <c r="S7" s="16" t="n">
        <f aca="false">(L7+M7)*N7/100*(1-O7)-K7-P7-Q7-R7</f>
        <v>2713.56060606061</v>
      </c>
      <c r="T7" s="16" t="n">
        <f aca="false">ROUNDUP((K7+P7)*0.090909,0)</f>
        <v>1999</v>
      </c>
      <c r="U7" s="16" t="n">
        <f aca="false">S7+T7</f>
        <v>4712.56060606061</v>
      </c>
      <c r="V7" s="17" t="n">
        <v>0.12</v>
      </c>
    </row>
    <row r="8" customFormat="false" ht="30" hidden="false" customHeight="true" outlineLevel="0" collapsed="false">
      <c r="A8" s="5" t="n">
        <v>273</v>
      </c>
      <c r="B8" s="5" t="s">
        <v>23</v>
      </c>
      <c r="C8" s="6" t="s">
        <v>55</v>
      </c>
      <c r="D8" s="5" t="s">
        <v>56</v>
      </c>
      <c r="E8" s="5" t="s">
        <v>57</v>
      </c>
      <c r="F8" s="7" t="s">
        <v>58</v>
      </c>
      <c r="G8" s="8" t="s">
        <v>59</v>
      </c>
      <c r="H8" s="8" t="s">
        <v>60</v>
      </c>
      <c r="I8" s="9" t="s">
        <v>30</v>
      </c>
      <c r="J8" s="10" t="n">
        <v>0.75</v>
      </c>
      <c r="K8" s="11" t="n">
        <v>20000</v>
      </c>
      <c r="L8" s="12" t="n">
        <f aca="false">(K8+P8+Q8+R8-K8/11)/(1-V8-O8)/N8*100</f>
        <v>3980.52897395003</v>
      </c>
      <c r="M8" s="13" t="n">
        <v>0</v>
      </c>
      <c r="N8" s="14" t="n">
        <v>950</v>
      </c>
      <c r="O8" s="15" t="n">
        <v>0.16</v>
      </c>
      <c r="P8" s="11" t="n">
        <v>2080</v>
      </c>
      <c r="Q8" s="16" t="n">
        <f aca="false">VLOOKUP(J8,kse요율!$A$4:$C$28,3,0)</f>
        <v>6800</v>
      </c>
      <c r="R8" s="16" t="n">
        <v>165</v>
      </c>
      <c r="S8" s="16" t="n">
        <f aca="false">(L8+M8)*N8/100*(1-O8)-K8-P8-Q8-R8</f>
        <v>2719.62121212121</v>
      </c>
      <c r="T8" s="16" t="n">
        <f aca="false">ROUNDUP((K8+P8)*0.090909,0)</f>
        <v>2008</v>
      </c>
      <c r="U8" s="16" t="n">
        <f aca="false">S8+T8</f>
        <v>4727.62121212121</v>
      </c>
      <c r="V8" s="17" t="n">
        <v>0.12</v>
      </c>
    </row>
    <row r="9" customFormat="false" ht="30" hidden="false" customHeight="true" outlineLevel="0" collapsed="false">
      <c r="A9" s="5" t="n">
        <v>274</v>
      </c>
      <c r="B9" s="5" t="s">
        <v>23</v>
      </c>
      <c r="C9" s="6" t="s">
        <v>61</v>
      </c>
      <c r="D9" s="5" t="s">
        <v>62</v>
      </c>
      <c r="E9" s="5" t="s">
        <v>63</v>
      </c>
      <c r="F9" s="7" t="s">
        <v>64</v>
      </c>
      <c r="G9" s="5" t="s">
        <v>65</v>
      </c>
      <c r="H9" s="8" t="s">
        <v>66</v>
      </c>
      <c r="I9" s="9" t="s">
        <v>30</v>
      </c>
      <c r="J9" s="10" t="n">
        <v>0.75</v>
      </c>
      <c r="K9" s="11" t="n">
        <v>50000</v>
      </c>
      <c r="L9" s="12" t="n">
        <f aca="false">(K9+P9+Q9+R9-K9/11)/(1-V9-O9)/N9*100</f>
        <v>7967.76980329612</v>
      </c>
      <c r="M9" s="13" t="n">
        <v>0</v>
      </c>
      <c r="N9" s="14" t="n">
        <v>950</v>
      </c>
      <c r="O9" s="15" t="n">
        <v>0.16</v>
      </c>
      <c r="P9" s="11" t="n">
        <v>2080</v>
      </c>
      <c r="Q9" s="16" t="n">
        <f aca="false">VLOOKUP(J9,kse요율!$A$4:$C$28,3,0)</f>
        <v>6800</v>
      </c>
      <c r="R9" s="16" t="n">
        <v>165</v>
      </c>
      <c r="S9" s="16" t="n">
        <f aca="false">(L9+M9)*N9/100*(1-O9)-K9-P9-Q9-R9</f>
        <v>4537.80303030303</v>
      </c>
      <c r="T9" s="16" t="n">
        <f aca="false">ROUNDUP((K9+P9)*0.090909,0)</f>
        <v>4735</v>
      </c>
      <c r="U9" s="16" t="n">
        <f aca="false">S9+T9</f>
        <v>9272.80303030303</v>
      </c>
      <c r="V9" s="17" t="n">
        <v>0.12</v>
      </c>
    </row>
    <row r="12" customFormat="false" ht="15" hidden="false" customHeight="true" outlineLevel="0" collapsed="false">
      <c r="A12" s="18" t="s">
        <v>67</v>
      </c>
    </row>
    <row r="13" customFormat="false" ht="15" hidden="false" customHeight="true" outlineLevel="0" collapsed="false">
      <c r="A13" s="18" t="s">
        <v>68</v>
      </c>
    </row>
  </sheetData>
  <hyperlinks>
    <hyperlink ref="I3" r:id="rId1" display="바로가기"/>
    <hyperlink ref="I4" r:id="rId2" display="바로가기"/>
    <hyperlink ref="I5" r:id="rId3" display="바로가기"/>
    <hyperlink ref="I6" r:id="rId4" display="바로가기"/>
    <hyperlink ref="I7" r:id="rId5" display="바로가기"/>
    <hyperlink ref="I8" r:id="rId6" display="바로가기"/>
    <hyperlink ref="I9" r:id="rId7" display="바로가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</cols>
  <sheetData>
    <row r="1" customFormat="false" ht="18.75" hidden="false" customHeight="true" outlineLevel="0" collapsed="false">
      <c r="A1" s="19" t="s">
        <v>69</v>
      </c>
    </row>
    <row r="3" customFormat="false" ht="16.5" hidden="false" customHeight="true" outlineLevel="0" collapsed="false">
      <c r="A3" s="20" t="s">
        <v>10</v>
      </c>
      <c r="B3" s="20" t="s">
        <v>70</v>
      </c>
      <c r="C3" s="20" t="s">
        <v>71</v>
      </c>
    </row>
    <row r="4" customFormat="false" ht="15" hidden="false" customHeight="true" outlineLevel="0" collapsed="false">
      <c r="A4" s="1" t="n">
        <v>0.1</v>
      </c>
      <c r="B4" s="1" t="n">
        <v>450</v>
      </c>
      <c r="C4" s="1" t="n">
        <v>4500</v>
      </c>
    </row>
    <row r="5" customFormat="false" ht="15" hidden="false" customHeight="true" outlineLevel="0" collapsed="false">
      <c r="A5" s="1" t="n">
        <v>0.25</v>
      </c>
      <c r="B5" s="1" t="n">
        <v>525</v>
      </c>
      <c r="C5" s="1" t="n">
        <v>5250</v>
      </c>
    </row>
    <row r="6" customFormat="false" ht="15" hidden="false" customHeight="true" outlineLevel="0" collapsed="false">
      <c r="A6" s="1" t="n">
        <v>0.5</v>
      </c>
      <c r="B6" s="1" t="n">
        <v>590</v>
      </c>
      <c r="C6" s="1" t="n">
        <v>5900</v>
      </c>
    </row>
    <row r="7" customFormat="false" ht="15" hidden="false" customHeight="true" outlineLevel="0" collapsed="false">
      <c r="A7" s="1" t="n">
        <v>0.75</v>
      </c>
      <c r="B7" s="1" t="n">
        <v>680</v>
      </c>
      <c r="C7" s="1" t="n">
        <v>6800</v>
      </c>
    </row>
    <row r="8" customFormat="false" ht="15" hidden="false" customHeight="true" outlineLevel="0" collapsed="false">
      <c r="A8" s="1" t="n">
        <v>1</v>
      </c>
      <c r="B8" s="1" t="n">
        <v>720</v>
      </c>
      <c r="C8" s="1" t="n">
        <v>7200</v>
      </c>
    </row>
    <row r="9" customFormat="false" ht="15" hidden="false" customHeight="true" outlineLevel="0" collapsed="false">
      <c r="A9" s="1" t="n">
        <v>1.25</v>
      </c>
      <c r="B9" s="1" t="n">
        <v>760</v>
      </c>
      <c r="C9" s="1" t="n">
        <v>7600</v>
      </c>
    </row>
    <row r="10" customFormat="false" ht="15" hidden="false" customHeight="true" outlineLevel="0" collapsed="false">
      <c r="A10" s="1" t="n">
        <v>1.5</v>
      </c>
      <c r="B10" s="1" t="n">
        <v>810</v>
      </c>
      <c r="C10" s="1" t="n">
        <v>8100</v>
      </c>
    </row>
    <row r="11" customFormat="false" ht="15" hidden="false" customHeight="true" outlineLevel="0" collapsed="false">
      <c r="A11" s="1" t="n">
        <v>1.75</v>
      </c>
      <c r="B11" s="1" t="n">
        <v>860</v>
      </c>
      <c r="C11" s="1" t="n">
        <v>8600</v>
      </c>
    </row>
    <row r="12" customFormat="false" ht="15" hidden="false" customHeight="true" outlineLevel="0" collapsed="false">
      <c r="A12" s="1" t="n">
        <v>2</v>
      </c>
      <c r="B12" s="1" t="n">
        <v>910</v>
      </c>
      <c r="C12" s="1" t="n">
        <v>9100</v>
      </c>
    </row>
    <row r="13" customFormat="false" ht="15" hidden="false" customHeight="true" outlineLevel="0" collapsed="false">
      <c r="A13" s="1" t="n">
        <v>2.5</v>
      </c>
      <c r="B13" s="1" t="n">
        <v>950</v>
      </c>
      <c r="C13" s="1" t="n">
        <v>9500</v>
      </c>
    </row>
    <row r="14" customFormat="false" ht="15" hidden="false" customHeight="true" outlineLevel="0" collapsed="false">
      <c r="A14" s="1" t="n">
        <v>3</v>
      </c>
      <c r="B14" s="1" t="n">
        <v>1020</v>
      </c>
      <c r="C14" s="1" t="n">
        <v>10200</v>
      </c>
    </row>
    <row r="15" customFormat="false" ht="15" hidden="false" customHeight="true" outlineLevel="0" collapsed="false">
      <c r="A15" s="1" t="n">
        <v>3.5</v>
      </c>
      <c r="B15" s="1" t="n">
        <v>1110</v>
      </c>
      <c r="C15" s="1" t="n">
        <v>11100</v>
      </c>
    </row>
    <row r="16" customFormat="false" ht="15" hidden="false" customHeight="true" outlineLevel="0" collapsed="false">
      <c r="A16" s="1" t="n">
        <v>4</v>
      </c>
      <c r="B16" s="1" t="n">
        <v>1170</v>
      </c>
      <c r="C16" s="1" t="n">
        <v>11700</v>
      </c>
    </row>
    <row r="17" customFormat="false" ht="15" hidden="false" customHeight="true" outlineLevel="0" collapsed="false">
      <c r="A17" s="1" t="n">
        <v>4.5</v>
      </c>
      <c r="B17" s="1" t="n">
        <v>1230</v>
      </c>
      <c r="C17" s="1" t="n">
        <v>12300</v>
      </c>
    </row>
    <row r="18" customFormat="false" ht="15" hidden="false" customHeight="true" outlineLevel="0" collapsed="false">
      <c r="A18" s="1" t="n">
        <v>5</v>
      </c>
      <c r="B18" s="1" t="n">
        <v>1340</v>
      </c>
      <c r="C18" s="1" t="n">
        <v>13400</v>
      </c>
    </row>
    <row r="19" customFormat="false" ht="15" hidden="false" customHeight="true" outlineLevel="0" collapsed="false">
      <c r="A19" s="1" t="n">
        <v>5.5</v>
      </c>
      <c r="B19" s="1" t="n">
        <v>1460</v>
      </c>
      <c r="C19" s="1" t="n">
        <v>14600</v>
      </c>
    </row>
    <row r="20" customFormat="false" ht="15" hidden="false" customHeight="true" outlineLevel="0" collapsed="false">
      <c r="A20" s="1" t="n">
        <v>6</v>
      </c>
      <c r="B20" s="1" t="n">
        <v>1530</v>
      </c>
      <c r="C20" s="1" t="n">
        <v>15300</v>
      </c>
    </row>
    <row r="21" customFormat="false" ht="15" hidden="false" customHeight="true" outlineLevel="0" collapsed="false">
      <c r="A21" s="1" t="n">
        <v>6.5</v>
      </c>
      <c r="B21" s="1" t="n">
        <v>1610</v>
      </c>
      <c r="C21" s="1" t="n">
        <v>16100</v>
      </c>
    </row>
    <row r="22" customFormat="false" ht="15" hidden="false" customHeight="true" outlineLevel="0" collapsed="false">
      <c r="A22" s="1" t="n">
        <v>7</v>
      </c>
      <c r="B22" s="1" t="n">
        <v>1680</v>
      </c>
      <c r="C22" s="1" t="n">
        <v>16800</v>
      </c>
    </row>
    <row r="23" customFormat="false" ht="15" hidden="false" customHeight="true" outlineLevel="0" collapsed="false">
      <c r="A23" s="1" t="n">
        <v>7.5</v>
      </c>
      <c r="B23" s="1" t="n">
        <v>1760</v>
      </c>
      <c r="C23" s="1" t="n">
        <v>17600</v>
      </c>
    </row>
    <row r="24" customFormat="false" ht="15" hidden="false" customHeight="true" outlineLevel="0" collapsed="false">
      <c r="A24" s="1" t="n">
        <v>8</v>
      </c>
      <c r="B24" s="1" t="n">
        <v>1830</v>
      </c>
      <c r="C24" s="1" t="n">
        <v>18300</v>
      </c>
    </row>
    <row r="25" customFormat="false" ht="15" hidden="false" customHeight="true" outlineLevel="0" collapsed="false">
      <c r="A25" s="1" t="n">
        <v>8.5</v>
      </c>
      <c r="B25" s="1" t="n">
        <v>1900</v>
      </c>
      <c r="C25" s="1" t="n">
        <v>19000</v>
      </c>
    </row>
    <row r="26" customFormat="false" ht="15" hidden="false" customHeight="true" outlineLevel="0" collapsed="false">
      <c r="A26" s="1" t="n">
        <v>9</v>
      </c>
      <c r="B26" s="1" t="n">
        <v>1980</v>
      </c>
      <c r="C26" s="1" t="n">
        <v>19800</v>
      </c>
    </row>
    <row r="27" customFormat="false" ht="15" hidden="false" customHeight="true" outlineLevel="0" collapsed="false">
      <c r="A27" s="1" t="n">
        <v>9.5</v>
      </c>
      <c r="B27" s="1" t="n">
        <v>2040</v>
      </c>
      <c r="C27" s="1" t="n">
        <v>20400</v>
      </c>
    </row>
    <row r="28" customFormat="false" ht="15" hidden="false" customHeight="true" outlineLevel="0" collapsed="false">
      <c r="A28" s="1" t="n">
        <v>10</v>
      </c>
      <c r="B28" s="1" t="n">
        <v>2120</v>
      </c>
      <c r="C28" s="1" t="n">
        <v>21200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2026-07-19T14:52:38Z</dcterms:created>
  <dc:creator>openpyxl</dc:creator>
  <dc:description/>
  <dc:language>en-US</dc:language>
  <cp:lastModifiedBy/>
  <dcterms:modified xsi:type="dcterms:W3CDTF">2026-07-19T15:01:46Z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