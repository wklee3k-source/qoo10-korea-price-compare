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<sst xmlns="http://schemas.openxmlformats.org/spreadsheetml/2006/main" count="85" uniqueCount="72">
  <si>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</si>
  <si>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</si>
  <si>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</si>
  <si>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</si>
  <si>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</si>
  <si>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</si>
  <si>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</si>
  <si>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</si>
  <si>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</si>
  <si>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</si>
  <si>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</si>
  <si>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</si>
  <si>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</si>
  <si>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</si>
  <si>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</si>
  <si>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</si>
  <si>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</si>
  <si>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</si>
  <si>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</si>
  <si>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</si>
  <si>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</si>
  <si>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</si>
  <si>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</si>
  <si>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</si>
  <si>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</si>
  <si>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</si>
  <si>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</si>
  <si>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</si>
  <si>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</si>
  <si>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</si>
  <si>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</si>
  <si>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</si>
  <si>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</si>
  <si>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</si>
  <si>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</si>
  <si>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</si>
  <si>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</si>
  <si>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</si>
  <si>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</si>
  <si>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</si>
  <si>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</si>
  <si>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</si>
  <si>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</si>
  <si>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</si>
  <si>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</si>
  <si>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</si>
  <si>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</si>
  <si>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</si>
  <si>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</si>
  <si>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</si>
  <si>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</si>
  <si>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</si>
  <si>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</si>
  <si>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</si>
  <si>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</si>
  <si>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</si>
  <si>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</si>
  <si>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</si>
  <si>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</si>
  <si>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</si>
  <si>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</si>
  <si>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</si>
  <si>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</si>
  <si>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</si>
  <si>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</si>
  <si>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</si>
  <si>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</si>
  <si>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추정치를 kse요율표 구간으로 올림한 뒤 2단계 더 올리고, 최소 0.75kg을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</si>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</sst>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0.75</v>
      </c>
      <c r="K3" s="11" t="n">
        <v>20000</v>
      </c>
      <c r="L3" s="12" t="n">
        <f aca="false">(K3+P3+Q3+R3-K3/11)/(1-V3-O3)/N3*100</f>
        <v>3980.52897395003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6800</v>
      </c>
      <c r="R3" s="16" t="n">
        <v>165</v>
      </c>
      <c r="S3" s="16" t="n">
        <f aca="false">(L3+M3)*N3/100*(1-O3)-K3-P3-Q3-R3</f>
        <v>2719.62121212121</v>
      </c>
      <c r="T3" s="16" t="n">
        <f aca="false">ROUNDUP((K3+P3)*0.090909,0)</f>
        <v>2008</v>
      </c>
      <c r="U3" s="16" t="n">
        <f aca="false">S3+T3</f>
        <v>4727.62121212121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0.75</v>
      </c>
      <c r="K4" s="11" t="n">
        <v>32000</v>
      </c>
      <c r="L4" s="12" t="n">
        <f aca="false">(K4+P4+Q4+R4-K4/11)/(1-V4-O4)/N4*100</f>
        <v>5575.42530568846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6800</v>
      </c>
      <c r="R4" s="16" t="n">
        <v>165</v>
      </c>
      <c r="S4" s="16" t="n">
        <f aca="false">(L4+M4)*N4/100*(1-O4)-K4-P4-Q4-R4</f>
        <v>3446.89393939394</v>
      </c>
      <c r="T4" s="16" t="n">
        <f aca="false">ROUNDUP((K4+P4)*0.090909,0)</f>
        <v>3099</v>
      </c>
      <c r="U4" s="16" t="n">
        <f aca="false">S4+T4</f>
        <v>6545.89393939394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1</v>
      </c>
      <c r="K5" s="11" t="n">
        <v>20800</v>
      </c>
      <c r="L5" s="12" t="n">
        <f aca="false">(K5+P5+Q5+R5-K5/11)/(1-V5-O5)/N5*100</f>
        <v>4145.33492822967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7200</v>
      </c>
      <c r="R5" s="16" t="n">
        <v>165</v>
      </c>
      <c r="S5" s="16" t="n">
        <f aca="false">(L5+M5)*N5/100*(1-O5)-K5-P5-Q5-R5</f>
        <v>2834.77272727273</v>
      </c>
      <c r="T5" s="16" t="n">
        <f aca="false">ROUNDUP((K5+P5)*0.090909,0)</f>
        <v>2080</v>
      </c>
      <c r="U5" s="16" t="n">
        <f aca="false">S5+T5</f>
        <v>4914.77272727273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0.75</v>
      </c>
      <c r="K6" s="11" t="n">
        <v>13000</v>
      </c>
      <c r="L6" s="12" t="n">
        <f aca="false">(K6+P6+Q6+R6-K6/11)/(1-V6-O6)/N6*100</f>
        <v>3050.17278043594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6800</v>
      </c>
      <c r="R6" s="16" t="n">
        <v>165</v>
      </c>
      <c r="S6" s="16" t="n">
        <f aca="false">(L6+M6)*N6/100*(1-O6)-K6-P6-Q6-R6</f>
        <v>2295.37878787879</v>
      </c>
      <c r="T6" s="16" t="n">
        <f aca="false">ROUNDUP((K6+P6)*0.090909,0)</f>
        <v>1371</v>
      </c>
      <c r="U6" s="16" t="n">
        <f aca="false">S6+T6</f>
        <v>3666.37878787879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0.75</v>
      </c>
      <c r="K7" s="11" t="n">
        <v>19900</v>
      </c>
      <c r="L7" s="12" t="n">
        <f aca="false">(K7+P7+Q7+R7-K7/11)/(1-V7-O7)/N7*100</f>
        <v>3967.23817118554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6800</v>
      </c>
      <c r="R7" s="16" t="n">
        <v>165</v>
      </c>
      <c r="S7" s="16" t="n">
        <f aca="false">(L7+M7)*N7/100*(1-O7)-K7-P7-Q7-R7</f>
        <v>2713.56060606061</v>
      </c>
      <c r="T7" s="16" t="n">
        <f aca="false">ROUNDUP((K7+P7)*0.090909,0)</f>
        <v>1999</v>
      </c>
      <c r="U7" s="16" t="n">
        <f aca="false">S7+T7</f>
        <v>4712.56060606061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0.75</v>
      </c>
      <c r="K8" s="11" t="n">
        <v>20000</v>
      </c>
      <c r="L8" s="12" t="n">
        <f aca="false">(K8+P8+Q8+R8-K8/11)/(1-V8-O8)/N8*100</f>
        <v>3980.52897395003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6800</v>
      </c>
      <c r="R8" s="16" t="n">
        <v>165</v>
      </c>
      <c r="S8" s="16" t="n">
        <f aca="false">(L8+M8)*N8/100*(1-O8)-K8-P8-Q8-R8</f>
        <v>2719.62121212121</v>
      </c>
      <c r="T8" s="16" t="n">
        <f aca="false">ROUNDUP((K8+P8)*0.090909,0)</f>
        <v>2008</v>
      </c>
      <c r="U8" s="16" t="n">
        <f aca="false">S8+T8</f>
        <v>4727.62121212121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0.75</v>
      </c>
      <c r="K9" s="11" t="n">
        <v>50000</v>
      </c>
      <c r="L9" s="12" t="n">
        <f aca="false">(K9+P9+Q9+R9-K9/11)/(1-V9-O9)/N9*100</f>
        <v>7967.76980329612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6800</v>
      </c>
      <c r="R9" s="16" t="n">
        <v>165</v>
      </c>
      <c r="S9" s="16" t="n">
        <f aca="false">(L9+M9)*N9/100*(1-O9)-K9-P9-Q9-R9</f>
        <v>4537.80303030303</v>
      </c>
      <c r="T9" s="16" t="n">
        <f aca="false">ROUNDUP((K9+P9)*0.090909,0)</f>
        <v>4735</v>
      </c>
      <c r="U9" s="16" t="n">
        <f aca="false">S9+T9</f>
        <v>9272.80303030303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