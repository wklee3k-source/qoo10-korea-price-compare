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<sst xmlns="http://schemas.openxmlformats.org/spreadsheetml/2006/main" count="39" uniqueCount="39">
  <si>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r>
      <rPr>
        <b val="true"/>
        <sz val="12"/>
        <rFont val="Noto Sans CJK SC"/>
        <family val="2"/>
      </rPr>
      <t xml:space="preserve">마진계산기 — 흰 칸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파란 글씨</t>
    </r>
    <r>
      <rPr>
        <b val="true"/>
        <sz val="12"/>
        <rFont val="Cambria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만 입력하면 노란 칸이 자동 계산됩니다</t>
    </r>
    <r>
      <rPr>
        <b val="true"/>
        <sz val="12"/>
        <rFont val="Cambria"/>
        <family val="0"/>
        <charset val="1"/>
      </rPr>
      <t xml:space="preserve">.</t>
    </r>
  </si>
  <si>
    <r>
      <rPr>
        <i val="true"/>
        <sz val="10"/>
        <color rgb="FF666666"/>
        <rFont val="Noto Sans CJK SC"/>
        <family val="2"/>
      </rPr>
      <t xml:space="preserve">공식</t>
    </r>
    <r>
      <rPr>
        <i val="true"/>
        <sz val="10"/>
        <color rgb="FF666666"/>
        <rFont val="Cambria"/>
        <family val="0"/>
        <charset val="1"/>
      </rPr>
      <t xml:space="preserve">: </t>
    </r>
    <r>
      <rPr>
        <i val="true"/>
        <sz val="10"/>
        <color rgb="FF666666"/>
        <rFont val="Noto Sans CJK SC"/>
        <family val="2"/>
      </rPr>
      <t xml:space="preserve">큐텐판매가</t>
    </r>
    <r>
      <rPr>
        <i val="true"/>
        <sz val="10"/>
        <color rgb="FF666666"/>
        <rFont val="Cambria"/>
        <family val="0"/>
        <charset val="1"/>
      </rPr>
      <t xml:space="preserve">(</t>
    </r>
    <r>
      <rPr>
        <i val="true"/>
        <sz val="10"/>
        <color rgb="FF666666"/>
        <rFont val="Noto Sans CJK SC"/>
        <family val="2"/>
      </rPr>
      <t xml:space="preserve">円</t>
    </r>
    <r>
      <rPr>
        <i val="true"/>
        <sz val="10"/>
        <color rgb="FF666666"/>
        <rFont val="Cambria"/>
        <family val="0"/>
        <charset val="1"/>
      </rPr>
      <t xml:space="preserve">) = (</t>
    </r>
    <r>
      <rPr>
        <i val="true"/>
        <sz val="10"/>
        <color rgb="FF666666"/>
        <rFont val="Noto Sans CJK SC"/>
        <family val="2"/>
      </rPr>
      <t xml:space="preserve">국내구매가</t>
    </r>
    <r>
      <rPr>
        <i val="true"/>
        <sz val="10"/>
        <color rgb="FF666666"/>
        <rFont val="Cambria"/>
        <family val="0"/>
        <charset val="1"/>
      </rPr>
      <t xml:space="preserve">+</t>
    </r>
    <r>
      <rPr>
        <i val="true"/>
        <sz val="10"/>
        <color rgb="FF666666"/>
        <rFont val="Noto Sans CJK SC"/>
        <family val="2"/>
      </rPr>
      <t xml:space="preserve">포장비</t>
    </r>
    <r>
      <rPr>
        <i val="true"/>
        <sz val="10"/>
        <color rgb="FF666666"/>
        <rFont val="Cambria"/>
        <family val="0"/>
        <charset val="1"/>
      </rPr>
      <t xml:space="preserve">+</t>
    </r>
    <r>
      <rPr>
        <i val="true"/>
        <sz val="10"/>
        <color rgb="FF666666"/>
        <rFont val="Noto Sans CJK SC"/>
        <family val="2"/>
      </rPr>
      <t xml:space="preserve">배대지배송비</t>
    </r>
    <r>
      <rPr>
        <i val="true"/>
        <sz val="10"/>
        <color rgb="FF666666"/>
        <rFont val="Cambria"/>
        <family val="0"/>
        <charset val="1"/>
      </rPr>
      <t xml:space="preserve">+</t>
    </r>
    <r>
      <rPr>
        <i val="true"/>
        <sz val="10"/>
        <color rgb="FF666666"/>
        <rFont val="Noto Sans CJK SC"/>
        <family val="2"/>
      </rPr>
      <t xml:space="preserve">수출신고비</t>
    </r>
    <r>
      <rPr>
        <i val="true"/>
        <sz val="10"/>
        <color rgb="FF666666"/>
        <rFont val="Cambria"/>
        <family val="0"/>
        <charset val="1"/>
      </rPr>
      <t xml:space="preserve">-</t>
    </r>
    <r>
      <rPr>
        <i val="true"/>
        <sz val="10"/>
        <color rgb="FF666666"/>
        <rFont val="Noto Sans CJK SC"/>
        <family val="2"/>
      </rPr>
      <t xml:space="preserve">국내구매가</t>
    </r>
    <r>
      <rPr>
        <i val="true"/>
        <sz val="10"/>
        <color rgb="FF666666"/>
        <rFont val="Cambria"/>
        <family val="0"/>
        <charset val="1"/>
      </rPr>
      <t xml:space="preserve">/11) / (1-</t>
    </r>
    <r>
      <rPr>
        <i val="true"/>
        <sz val="10"/>
        <color rgb="FF666666"/>
        <rFont val="Noto Sans CJK SC"/>
        <family val="2"/>
      </rPr>
      <t xml:space="preserve">목표마진율</t>
    </r>
    <r>
      <rPr>
        <i val="true"/>
        <sz val="10"/>
        <color rgb="FF666666"/>
        <rFont val="Cambria"/>
        <family val="0"/>
        <charset val="1"/>
      </rPr>
      <t xml:space="preserve">-</t>
    </r>
    <r>
      <rPr>
        <i val="true"/>
        <sz val="10"/>
        <color rgb="FF666666"/>
        <rFont val="Noto Sans CJK SC"/>
        <family val="2"/>
      </rPr>
      <t xml:space="preserve">수수료율</t>
    </r>
    <r>
      <rPr>
        <i val="true"/>
        <sz val="10"/>
        <color rgb="FF666666"/>
        <rFont val="Cambria"/>
        <family val="0"/>
        <charset val="1"/>
      </rPr>
      <t xml:space="preserve">) / </t>
    </r>
    <r>
      <rPr>
        <i val="true"/>
        <sz val="10"/>
        <color rgb="FF666666"/>
        <rFont val="Noto Sans CJK SC"/>
        <family val="2"/>
      </rPr>
      <t xml:space="preserve">환율 </t>
    </r>
    <r>
      <rPr>
        <i val="true"/>
        <sz val="10"/>
        <color rgb="FF666666"/>
        <rFont val="Cambria"/>
        <family val="0"/>
        <charset val="1"/>
      </rPr>
      <t xml:space="preserve">× 100</t>
    </r>
  </si>
  <si>
    <t xml:space="preserve">No</t>
  </si>
  <si>
    <t xml:space="preserve">goods_no</t>
  </si>
  <si>
    <t xml:space="preserve">상품명</t>
  </si>
  <si>
    <r>
      <rPr>
        <b val="true"/>
        <sz val="11"/>
        <color rgb="FFFFFFFF"/>
        <rFont val="Noto Sans CJK SC"/>
        <family val="2"/>
      </rPr>
      <t xml:space="preserve">국내구매가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</si>
  <si>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무게</t>
    </r>
    <r>
      <rPr>
        <b val="true"/>
        <sz val="11"/>
        <color rgb="FFFFFFFF"/>
        <rFont val="Cambria"/>
        <family val="0"/>
        <charset val="1"/>
      </rPr>
      <t xml:space="preserve">(kg)</t>
    </r>
  </si>
  <si>
    <t xml:space="preserve">목표마진율</t>
  </si>
  <si>
    <r>
      <rPr>
        <b val="true"/>
        <sz val="11"/>
        <color rgb="FFFFFFFF"/>
        <rFont val="Noto Sans CJK SC"/>
        <family val="2"/>
      </rPr>
      <t xml:space="preserve">환율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/100</t>
    </r>
    <r>
      <rPr>
        <b val="true"/>
        <sz val="11"/>
        <color rgb="FFFFFFFF"/>
        <rFont val="Noto Sans CJK SC"/>
        <family val="2"/>
      </rPr>
      <t xml:space="preserve">円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</si>
  <si>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수수료율</t>
  </si>
  <si>
    <r>
      <rPr>
        <b val="true"/>
        <sz val="11"/>
        <color rgb="FFFFFFFF"/>
        <rFont val="Noto Sans CJK SC"/>
        <family val="2"/>
      </rPr>
      <t xml:space="preserve">포장비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</si>
  <si>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배대지배송비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</si>
  <si>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수출신고비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</si>
  <si>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큐텐판매가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円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</si>
  <si>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마진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</si>
  <si>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부가세환급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</si>
  <si>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최종마진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</si>
  <si>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최종마진률</t>
  </si>
  <si>
    <t xml:space="preserve">1209829232</t>
  </si>
  <si>
    <r>
      <rPr>
        <sz val="11"/>
        <color theme="1"/>
        <rFont val="Noto Sans CJK SC"/>
        <family val="2"/>
      </rPr>
      <t xml:space="preserve">ハートピンクトーンアップ</t>
    </r>
    <r>
      <rPr>
        <sz val="11"/>
        <color theme="1"/>
        <rFont val="Calibri"/>
        <family val="2"/>
        <charset val="1"/>
      </rPr>
      <t xml:space="preserve">UV</t>
    </r>
    <r>
      <rPr>
        <sz val="11"/>
        <color theme="1"/>
        <rFont val="Noto Sans CJK SC"/>
        <family val="2"/>
      </rPr>
      <t xml:space="preserve">クリーム </t>
    </r>
    <r>
      <rPr>
        <sz val="11"/>
        <color theme="1"/>
        <rFont val="Calibri"/>
        <family val="2"/>
        <charset val="1"/>
      </rPr>
      <t xml:space="preserve">40ml</t>
    </r>
  </si>
  <si>
    <t xml:space="preserve">1082667647</t>
  </si>
  <si>
    <r>
      <rPr>
        <sz val="11"/>
        <color theme="1"/>
        <rFont val="Noto Sans CJK SC"/>
        <family val="2"/>
      </rPr>
      <t xml:space="preserve">グリーントマト エンザイムパウダーウォッシュ </t>
    </r>
    <r>
      <rPr>
        <sz val="11"/>
        <color theme="1"/>
        <rFont val="Calibri"/>
        <family val="2"/>
        <charset val="1"/>
      </rPr>
      <t xml:space="preserve">50g</t>
    </r>
  </si>
  <si>
    <t xml:space="preserve">989681320</t>
  </si>
  <si>
    <r>
      <rPr>
        <sz val="11"/>
        <color theme="1"/>
        <rFont val="Noto Sans CJK SC"/>
        <family val="2"/>
      </rPr>
      <t xml:space="preserve">ダメージセラピーノーウォッシュトリートメント</t>
    </r>
    <r>
      <rPr>
        <sz val="11"/>
        <color theme="1"/>
        <rFont val="Calibri"/>
        <family val="2"/>
        <charset val="1"/>
      </rPr>
      <t xml:space="preserve">EX 250ml</t>
    </r>
  </si>
  <si>
    <t xml:space="preserve">1149010104</t>
  </si>
  <si>
    <r>
      <rPr>
        <sz val="11"/>
        <color theme="1"/>
        <rFont val="Noto Sans CJK SC"/>
        <family val="2"/>
      </rPr>
      <t xml:space="preserve">グリーンティー ヒアルロン酸ミスト </t>
    </r>
    <r>
      <rPr>
        <sz val="11"/>
        <color theme="1"/>
        <rFont val="Calibri"/>
        <family val="2"/>
        <charset val="1"/>
      </rPr>
      <t xml:space="preserve">150ml</t>
    </r>
  </si>
  <si>
    <t xml:space="preserve">1208958517</t>
  </si>
  <si>
    <r>
      <rPr>
        <sz val="11"/>
        <color theme="1"/>
        <rFont val="Noto Sans CJK SC"/>
        <family val="2"/>
      </rPr>
      <t xml:space="preserve">プロテインボンド アンプルヘアエッセンス </t>
    </r>
    <r>
      <rPr>
        <sz val="11"/>
        <color theme="1"/>
        <rFont val="Calibri"/>
        <family val="2"/>
        <charset val="1"/>
      </rPr>
      <t xml:space="preserve">145ml</t>
    </r>
  </si>
  <si>
    <t xml:space="preserve">1164004559</t>
  </si>
  <si>
    <r>
      <rPr>
        <sz val="11"/>
        <color theme="1"/>
        <rFont val="Noto Sans CJK SC"/>
        <family val="2"/>
      </rPr>
      <t xml:space="preserve">ドクターマスク シカ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枚</t>
    </r>
  </si>
  <si>
    <t xml:space="preserve">1156076459</t>
  </si>
  <si>
    <r>
      <rPr>
        <sz val="11"/>
        <color theme="1"/>
        <rFont val="Noto Sans CJK SC"/>
        <family val="2"/>
      </rPr>
      <t xml:space="preserve">マルチバームおかわりキット </t>
    </r>
    <r>
      <rPr>
        <sz val="11"/>
        <color theme="1"/>
        <rFont val="Calibri"/>
        <family val="2"/>
        <charset val="1"/>
      </rPr>
      <t xml:space="preserve">9g x 2</t>
    </r>
    <r>
      <rPr>
        <sz val="11"/>
        <color theme="1"/>
        <rFont val="Noto Sans CJK SC"/>
        <family val="2"/>
      </rPr>
      <t xml:space="preserve">個</t>
    </r>
  </si>
  <si>
    <r>
      <rPr>
        <sz val="10"/>
        <color rgb="FF0000FF"/>
        <rFont val="Noto Sans CJK SC"/>
        <family val="2"/>
      </rPr>
      <t xml:space="preserve">▪ 파란 글씨 </t>
    </r>
    <r>
      <rPr>
        <sz val="10"/>
        <color rgb="FF0000FF"/>
        <rFont val="Cambria"/>
        <family val="0"/>
        <charset val="1"/>
      </rPr>
      <t xml:space="preserve">= </t>
    </r>
    <r>
      <rPr>
        <sz val="10"/>
        <color rgb="FF0000FF"/>
        <rFont val="Noto Sans CJK SC"/>
        <family val="2"/>
      </rPr>
      <t xml:space="preserve">직접 입력 </t>
    </r>
    <r>
      <rPr>
        <sz val="10"/>
        <color rgb="FF0000FF"/>
        <rFont val="Cambria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수정 가능</t>
    </r>
    <r>
      <rPr>
        <sz val="10"/>
        <color rgb="FF0000FF"/>
        <rFont val="Cambria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</si>
  <si>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▪ 노란 칸 </t>
    </r>
    <r>
      <rPr>
        <sz val="10"/>
        <rFont val="Cambria"/>
        <family val="0"/>
        <charset val="1"/>
      </rPr>
      <t xml:space="preserve">= </t>
    </r>
    <r>
      <rPr>
        <sz val="10"/>
        <rFont val="Noto Sans CJK SC"/>
        <family val="2"/>
      </rPr>
      <t xml:space="preserve">자동 계산 </t>
    </r>
    <r>
      <rPr>
        <sz val="10"/>
        <rFont val="Cambria"/>
        <family val="0"/>
        <charset val="1"/>
      </rPr>
      <t xml:space="preserve">(</t>
    </r>
    <r>
      <rPr>
        <sz val="10"/>
        <rFont val="Noto Sans CJK SC"/>
        <family val="2"/>
      </rPr>
      <t xml:space="preserve">수식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건드리지 마세요</t>
    </r>
    <r>
      <rPr>
        <sz val="10"/>
        <rFont val="Cambria"/>
        <family val="0"/>
        <charset val="1"/>
      </rPr>
      <t xml:space="preserve">)</t>
    </r>
  </si>
  <si>
    <t xml:space="preserve">▪ 무게를 실측값으로 바꾸면 배대지배송비・판매가・마진이 전부 자동 재계산됩니다</t>
  </si>
  <si>
    <r>
      <rPr>
        <b val="true"/>
        <sz val="12"/>
        <rFont val="Cambria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</si>
  <si>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무게</t>
    </r>
    <r>
      <rPr>
        <b val="true"/>
        <sz val="11"/>
        <rFont val="Cambria"/>
        <family val="0"/>
        <charset val="1"/>
      </rPr>
      <t xml:space="preserve">(kg)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</si>
  <si>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엔화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</si>
  <si>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원화</t>
    </r>
    <r>
      <rPr>
        <b val="true"/>
        <sz val="11"/>
        <rFont val="Cambria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</si>
</sst>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i val="true"/>
      <sz val="10"/>
      <color rgb="FF666666"/>
      <name val="Noto Sans CJK SC"/>
      <family val="2"/>
    </font>
    <font>
      <i val="true"/>
      <sz val="10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0"/>
      <color rgb="FF0000FF"/>
      <name val="Noto Sans CJK SC"/>
      <family val="2"/>
    </font>
    <font>
      <sz val="10"/>
      <color rgb="FF0000FF"/>
      <name val="Cambria"/>
      <family val="0"/>
      <charset val="1"/>
    </font>
    <font>
      <sz val="10"/>
      <name val="Noto Sans CJK SC"/>
      <family val="2"/>
    </font>
    <font>
      <sz val="10"/>
      <name val="Cambria"/>
      <family val="0"/>
      <charset val="1"/>
    </font>
    <font>
      <sz val="10"/>
      <color rgb="FF666666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</cols>
  <sheetData>
    <row r="1" customFormat="false" ht="19.4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1.5" hidden="false" customHeight="tru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customFormat="false" ht="32.8" hidden="false" customHeight="false" outlineLevel="0" collapsed="false">
      <c r="A5" s="5" t="n">
        <v>1</v>
      </c>
      <c r="B5" s="5" t="s">
        <v>18</v>
      </c>
      <c r="C5" s="6" t="s">
        <v>19</v>
      </c>
      <c r="D5" s="7" t="n">
        <v>17600</v>
      </c>
      <c r="E5" s="8" t="n">
        <v>0.75</v>
      </c>
      <c r="F5" s="9" t="n">
        <v>0.12</v>
      </c>
      <c r="G5" s="8" t="n">
        <v>900</v>
      </c>
      <c r="H5" s="9" t="n">
        <v>0.16</v>
      </c>
      <c r="I5" s="7" t="n">
        <v>2080</v>
      </c>
      <c r="J5" s="10" t="n">
        <f aca="false">VLOOKUP(E5,kse요율!$A$4:$C$28,3,0)</f>
        <v>6800</v>
      </c>
      <c r="K5" s="7" t="n">
        <v>165</v>
      </c>
      <c r="L5" s="10" t="n">
        <f aca="false">(D5+I5+J5+K5-D5/11)/(1-F5-H5)/G5*100</f>
        <v>3864.96913580247</v>
      </c>
      <c r="M5" s="10" t="n">
        <f aca="false">L5*G5/100*(1-H5)-D5-I5-J5-K5</f>
        <v>2574.16666666667</v>
      </c>
      <c r="N5" s="10" t="n">
        <f aca="false">ROUNDUP((D5+I5)*0.090909,0)</f>
        <v>1790</v>
      </c>
      <c r="O5" s="10" t="n">
        <f aca="false">M5+N5</f>
        <v>4364.16666666667</v>
      </c>
      <c r="P5" s="11" t="n">
        <f aca="false">O5/(L5*G5/100)</f>
        <v>0.125462168097425</v>
      </c>
    </row>
    <row r="6" customFormat="false" ht="32.8" hidden="false" customHeight="false" outlineLevel="0" collapsed="false">
      <c r="A6" s="5" t="n">
        <v>2</v>
      </c>
      <c r="B6" s="5" t="s">
        <v>20</v>
      </c>
      <c r="C6" s="6" t="s">
        <v>21</v>
      </c>
      <c r="D6" s="7" t="n">
        <v>12900</v>
      </c>
      <c r="E6" s="8" t="n">
        <v>0.5</v>
      </c>
      <c r="F6" s="9" t="n">
        <v>0.12</v>
      </c>
      <c r="G6" s="8" t="n">
        <v>900</v>
      </c>
      <c r="H6" s="9" t="n">
        <v>0.16</v>
      </c>
      <c r="I6" s="7" t="n">
        <v>2080</v>
      </c>
      <c r="J6" s="10" t="n">
        <f aca="false">VLOOKUP(E6,kse요율!$A$4:$C$28,3,0)</f>
        <v>5900</v>
      </c>
      <c r="K6" s="7" t="n">
        <v>165</v>
      </c>
      <c r="L6" s="10" t="n">
        <f aca="false">(D6+I6+J6+K6-D6/11)/(1-F6-H6)/G6*100</f>
        <v>3066.70875420875</v>
      </c>
      <c r="M6" s="10" t="n">
        <f aca="false">L6*G6/100*(1-H6)-D6-I6-J6-K6</f>
        <v>2139.31818181819</v>
      </c>
      <c r="N6" s="10" t="n">
        <f aca="false">ROUNDUP((D6+I6)*0.090909,0)</f>
        <v>1362</v>
      </c>
      <c r="O6" s="10" t="n">
        <f aca="false">M6+N6</f>
        <v>3501.31818181819</v>
      </c>
      <c r="P6" s="11" t="n">
        <f aca="false">O6/(L6*G6/100)</f>
        <v>0.126857613394634</v>
      </c>
    </row>
    <row r="7" customFormat="false" ht="32.8" hidden="false" customHeight="false" outlineLevel="0" collapsed="false">
      <c r="A7" s="5" t="n">
        <v>3</v>
      </c>
      <c r="B7" s="5" t="s">
        <v>22</v>
      </c>
      <c r="C7" s="6" t="s">
        <v>23</v>
      </c>
      <c r="D7" s="7" t="n">
        <v>20800</v>
      </c>
      <c r="E7" s="8" t="n">
        <v>0.75</v>
      </c>
      <c r="F7" s="9" t="n">
        <v>0.12</v>
      </c>
      <c r="G7" s="8" t="n">
        <v>900</v>
      </c>
      <c r="H7" s="9" t="n">
        <v>0.16</v>
      </c>
      <c r="I7" s="7" t="n">
        <v>2080</v>
      </c>
      <c r="J7" s="10" t="n">
        <f aca="false">VLOOKUP(E7,kse요율!$A$4:$C$28,3,0)</f>
        <v>6800</v>
      </c>
      <c r="K7" s="7" t="n">
        <v>165</v>
      </c>
      <c r="L7" s="10" t="n">
        <f aca="false">(D7+I7+J7+K7-D7/11)/(1-F7-H7)/G7*100</f>
        <v>4313.90291806958</v>
      </c>
      <c r="M7" s="10" t="n">
        <f aca="false">L7*G7/100*(1-H7)-D7-I7-J7-K7</f>
        <v>2768.10606060605</v>
      </c>
      <c r="N7" s="10" t="n">
        <f aca="false">ROUNDUP((D7+I7)*0.090909,0)</f>
        <v>2080</v>
      </c>
      <c r="O7" s="10" t="n">
        <f aca="false">M7+N7</f>
        <v>4848.10606060605</v>
      </c>
      <c r="P7" s="11" t="n">
        <f aca="false">O7/(L7*G7/100)</f>
        <v>0.124870323094684</v>
      </c>
    </row>
    <row r="8" customFormat="false" ht="32.8" hidden="false" customHeight="false" outlineLevel="0" collapsed="false">
      <c r="A8" s="5" t="n">
        <v>4</v>
      </c>
      <c r="B8" s="5" t="s">
        <v>24</v>
      </c>
      <c r="C8" s="6" t="s">
        <v>25</v>
      </c>
      <c r="D8" s="7" t="n">
        <v>11900</v>
      </c>
      <c r="E8" s="8" t="n">
        <v>0.75</v>
      </c>
      <c r="F8" s="9" t="n">
        <v>0.12</v>
      </c>
      <c r="G8" s="8" t="n">
        <v>900</v>
      </c>
      <c r="H8" s="9" t="n">
        <v>0.16</v>
      </c>
      <c r="I8" s="7" t="n">
        <v>2080</v>
      </c>
      <c r="J8" s="10" t="n">
        <f aca="false">VLOOKUP(E8,kse요율!$A$4:$C$28,3,0)</f>
        <v>6800</v>
      </c>
      <c r="K8" s="7" t="n">
        <v>165</v>
      </c>
      <c r="L8" s="10" t="n">
        <f aca="false">(D8+I8+J8+K8-D8/11)/(1-F8-H8)/G8*100</f>
        <v>3065.30583613917</v>
      </c>
      <c r="M8" s="10" t="n">
        <f aca="false">L8*G8/100*(1-H8)-D8-I8-J8-K8</f>
        <v>2228.71212121212</v>
      </c>
      <c r="N8" s="10" t="n">
        <f aca="false">ROUNDUP((D8+I8)*0.090909,0)</f>
        <v>1271</v>
      </c>
      <c r="O8" s="10" t="n">
        <f aca="false">M8+N8</f>
        <v>3499.71212121212</v>
      </c>
      <c r="P8" s="11" t="n">
        <f aca="false">O8/(L8*G8/100)</f>
        <v>0.126857456692373</v>
      </c>
    </row>
    <row r="9" customFormat="false" ht="32.8" hidden="false" customHeight="false" outlineLevel="0" collapsed="false">
      <c r="A9" s="5" t="n">
        <v>5</v>
      </c>
      <c r="B9" s="5" t="s">
        <v>26</v>
      </c>
      <c r="C9" s="6" t="s">
        <v>27</v>
      </c>
      <c r="D9" s="7" t="n">
        <v>12110</v>
      </c>
      <c r="E9" s="8" t="n">
        <v>0.75</v>
      </c>
      <c r="F9" s="9" t="n">
        <v>0.12</v>
      </c>
      <c r="G9" s="8" t="n">
        <v>900</v>
      </c>
      <c r="H9" s="9" t="n">
        <v>0.16</v>
      </c>
      <c r="I9" s="7" t="n">
        <v>2080</v>
      </c>
      <c r="J9" s="10" t="n">
        <f aca="false">VLOOKUP(E9,kse요율!$A$4:$C$28,3,0)</f>
        <v>6800</v>
      </c>
      <c r="K9" s="7" t="n">
        <v>165</v>
      </c>
      <c r="L9" s="10" t="n">
        <f aca="false">(D9+I9+J9+K9-D9/11)/(1-F9-H9)/G9*100</f>
        <v>3094.76711560045</v>
      </c>
      <c r="M9" s="10" t="n">
        <f aca="false">L9*G9/100*(1-H9)-D9-I9-J9-K9</f>
        <v>2241.4393939394</v>
      </c>
      <c r="N9" s="10" t="n">
        <f aca="false">ROUNDUP((D9+I9)*0.090909,0)</f>
        <v>1290</v>
      </c>
      <c r="O9" s="10" t="n">
        <f aca="false">M9+N9</f>
        <v>3531.4393939394</v>
      </c>
      <c r="P9" s="11" t="n">
        <f aca="false">O9/(L9*G9/100)</f>
        <v>0.126788911806705</v>
      </c>
    </row>
    <row r="10" customFormat="false" ht="17.15" hidden="false" customHeight="false" outlineLevel="0" collapsed="false">
      <c r="A10" s="5" t="n">
        <v>6</v>
      </c>
      <c r="B10" s="5" t="s">
        <v>28</v>
      </c>
      <c r="C10" s="6" t="s">
        <v>29</v>
      </c>
      <c r="D10" s="7" t="n">
        <v>13000</v>
      </c>
      <c r="E10" s="8" t="n">
        <v>0.75</v>
      </c>
      <c r="F10" s="9" t="n">
        <v>0.12</v>
      </c>
      <c r="G10" s="8" t="n">
        <v>900</v>
      </c>
      <c r="H10" s="9" t="n">
        <v>0.16</v>
      </c>
      <c r="I10" s="7" t="n">
        <v>2080</v>
      </c>
      <c r="J10" s="10" t="n">
        <f aca="false">VLOOKUP(E10,kse요율!$A$4:$C$28,3,0)</f>
        <v>6800</v>
      </c>
      <c r="K10" s="7" t="n">
        <v>165</v>
      </c>
      <c r="L10" s="10" t="n">
        <f aca="false">(D10+I10+J10+K10-D10/11)/(1-F10-H10)/G10*100</f>
        <v>3219.62682379349</v>
      </c>
      <c r="M10" s="10" t="n">
        <f aca="false">L10*G10/100*(1-H10)-D10-I10-J10-K10</f>
        <v>2295.37878787879</v>
      </c>
      <c r="N10" s="10" t="n">
        <f aca="false">ROUNDUP((D10+I10)*0.090909,0)</f>
        <v>1371</v>
      </c>
      <c r="O10" s="10" t="n">
        <f aca="false">M10+N10</f>
        <v>3666.37878787879</v>
      </c>
      <c r="P10" s="11" t="n">
        <f aca="false">O10/(L10*G10/100)</f>
        <v>0.126528769689971</v>
      </c>
    </row>
    <row r="11" customFormat="false" ht="32.8" hidden="false" customHeight="false" outlineLevel="0" collapsed="false">
      <c r="A11" s="5" t="n">
        <v>7</v>
      </c>
      <c r="B11" s="5" t="s">
        <v>30</v>
      </c>
      <c r="C11" s="6" t="s">
        <v>31</v>
      </c>
      <c r="D11" s="7" t="n">
        <v>29000</v>
      </c>
      <c r="E11" s="8" t="n">
        <v>0.75</v>
      </c>
      <c r="F11" s="9" t="n">
        <v>0.12</v>
      </c>
      <c r="G11" s="8" t="n">
        <v>900</v>
      </c>
      <c r="H11" s="9" t="n">
        <v>0.16</v>
      </c>
      <c r="I11" s="7" t="n">
        <v>2080</v>
      </c>
      <c r="J11" s="10" t="n">
        <f aca="false">VLOOKUP(E11,kse요율!$A$4:$C$28,3,0)</f>
        <v>6800</v>
      </c>
      <c r="K11" s="7" t="n">
        <v>165</v>
      </c>
      <c r="L11" s="10" t="n">
        <f aca="false">(D11+I11+J11+K11-D11/11)/(1-F11-H11)/G11*100</f>
        <v>5464.29573512907</v>
      </c>
      <c r="M11" s="10" t="n">
        <f aca="false">L11*G11/100*(1-H11)-D11-I11-J11-K11</f>
        <v>3265.07575757575</v>
      </c>
      <c r="N11" s="10" t="n">
        <f aca="false">ROUNDUP((D11+I11)*0.090909,0)</f>
        <v>2826</v>
      </c>
      <c r="O11" s="10" t="n">
        <f aca="false">M11+N11</f>
        <v>6091.07575757575</v>
      </c>
      <c r="P11" s="11" t="n">
        <f aca="false">O11/(L11*G11/100)</f>
        <v>0.12385607003941</v>
      </c>
    </row>
    <row r="14" customFormat="false" ht="15" hidden="false" customHeight="false" outlineLevel="0" collapsed="false">
      <c r="A14" s="12" t="s">
        <v>32</v>
      </c>
    </row>
    <row r="15" customFormat="false" ht="15" hidden="false" customHeight="false" outlineLevel="0" collapsed="false">
      <c r="A15" s="13" t="s">
        <v>33</v>
      </c>
    </row>
    <row r="16" customFormat="false" ht="15" hidden="false" customHeight="false" outlineLevel="0" collapsed="false">
      <c r="A16" s="14" t="s">
        <v>34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9.4" hidden="false" customHeight="false" outlineLevel="0" collapsed="false">
      <c r="A1" s="15" t="s">
        <v>35</v>
      </c>
    </row>
    <row r="3" customFormat="false" ht="17.15" hidden="false" customHeight="false" outlineLevel="0" collapsed="false">
      <c r="A3" s="16" t="s">
        <v>36</v>
      </c>
      <c r="B3" s="16" t="s">
        <v>37</v>
      </c>
      <c r="C3" s="16" t="s">
        <v>38</v>
      </c>
    </row>
    <row r="4" customFormat="false" ht="15" hidden="false" customHeight="false" outlineLevel="0" collapsed="false">
      <c r="A4" s="0" t="n">
        <v>0.1</v>
      </c>
      <c r="B4" s="0" t="n">
        <v>450</v>
      </c>
      <c r="C4" s="0" t="n">
        <v>4500</v>
      </c>
    </row>
    <row r="5" customFormat="false" ht="15" hidden="false" customHeight="false" outlineLevel="0" collapsed="false">
      <c r="A5" s="0" t="n">
        <v>0.25</v>
      </c>
      <c r="B5" s="0" t="n">
        <v>525</v>
      </c>
      <c r="C5" s="0" t="n">
        <v>5250</v>
      </c>
    </row>
    <row r="6" customFormat="false" ht="15" hidden="false" customHeight="false" outlineLevel="0" collapsed="false">
      <c r="A6" s="0" t="n">
        <v>0.5</v>
      </c>
      <c r="B6" s="0" t="n">
        <v>590</v>
      </c>
      <c r="C6" s="0" t="n">
        <v>5900</v>
      </c>
    </row>
    <row r="7" customFormat="false" ht="15" hidden="false" customHeight="false" outlineLevel="0" collapsed="false">
      <c r="A7" s="0" t="n">
        <v>0.75</v>
      </c>
      <c r="B7" s="0" t="n">
        <v>680</v>
      </c>
      <c r="C7" s="0" t="n">
        <v>6800</v>
      </c>
    </row>
    <row r="8" customFormat="false" ht="15" hidden="false" customHeight="false" outlineLevel="0" collapsed="false">
      <c r="A8" s="0" t="n">
        <v>1</v>
      </c>
      <c r="B8" s="0" t="n">
        <v>720</v>
      </c>
      <c r="C8" s="0" t="n">
        <v>7200</v>
      </c>
    </row>
    <row r="9" customFormat="false" ht="15" hidden="false" customHeight="false" outlineLevel="0" collapsed="false">
      <c r="A9" s="0" t="n">
        <v>1.25</v>
      </c>
      <c r="B9" s="0" t="n">
        <v>760</v>
      </c>
      <c r="C9" s="0" t="n">
        <v>7600</v>
      </c>
    </row>
    <row r="10" customFormat="false" ht="15" hidden="false" customHeight="false" outlineLevel="0" collapsed="false">
      <c r="A10" s="0" t="n">
        <v>1.5</v>
      </c>
      <c r="B10" s="0" t="n">
        <v>810</v>
      </c>
      <c r="C10" s="0" t="n">
        <v>8100</v>
      </c>
    </row>
    <row r="11" customFormat="false" ht="15" hidden="false" customHeight="false" outlineLevel="0" collapsed="false">
      <c r="A11" s="0" t="n">
        <v>1.75</v>
      </c>
      <c r="B11" s="0" t="n">
        <v>860</v>
      </c>
      <c r="C11" s="0" t="n">
        <v>8600</v>
      </c>
    </row>
    <row r="12" customFormat="false" ht="15" hidden="false" customHeight="false" outlineLevel="0" collapsed="false">
      <c r="A12" s="0" t="n">
        <v>2</v>
      </c>
      <c r="B12" s="0" t="n">
        <v>910</v>
      </c>
      <c r="C12" s="0" t="n">
        <v>9100</v>
      </c>
    </row>
    <row r="13" customFormat="false" ht="15" hidden="false" customHeight="false" outlineLevel="0" collapsed="false">
      <c r="A13" s="0" t="n">
        <v>2.5</v>
      </c>
      <c r="B13" s="0" t="n">
        <v>950</v>
      </c>
      <c r="C13" s="0" t="n">
        <v>9500</v>
      </c>
    </row>
    <row r="14" customFormat="false" ht="15" hidden="false" customHeight="false" outlineLevel="0" collapsed="false">
      <c r="A14" s="0" t="n">
        <v>3</v>
      </c>
      <c r="B14" s="0" t="n">
        <v>1020</v>
      </c>
      <c r="C14" s="0" t="n">
        <v>10200</v>
      </c>
    </row>
    <row r="15" customFormat="false" ht="15" hidden="false" customHeight="false" outlineLevel="0" collapsed="false">
      <c r="A15" s="0" t="n">
        <v>3.5</v>
      </c>
      <c r="B15" s="0" t="n">
        <v>1110</v>
      </c>
      <c r="C15" s="0" t="n">
        <v>11100</v>
      </c>
    </row>
    <row r="16" customFormat="false" ht="15" hidden="false" customHeight="false" outlineLevel="0" collapsed="false">
      <c r="A16" s="0" t="n">
        <v>4</v>
      </c>
      <c r="B16" s="0" t="n">
        <v>1170</v>
      </c>
      <c r="C16" s="0" t="n">
        <v>11700</v>
      </c>
    </row>
    <row r="17" customFormat="false" ht="15" hidden="false" customHeight="false" outlineLevel="0" collapsed="false">
      <c r="A17" s="0" t="n">
        <v>4.5</v>
      </c>
      <c r="B17" s="0" t="n">
        <v>1230</v>
      </c>
      <c r="C17" s="0" t="n">
        <v>12300</v>
      </c>
    </row>
    <row r="18" customFormat="false" ht="15" hidden="false" customHeight="false" outlineLevel="0" collapsed="false">
      <c r="A18" s="0" t="n">
        <v>5</v>
      </c>
      <c r="B18" s="0" t="n">
        <v>1340</v>
      </c>
      <c r="C18" s="0" t="n">
        <v>13400</v>
      </c>
    </row>
    <row r="19" customFormat="false" ht="15" hidden="false" customHeight="false" outlineLevel="0" collapsed="false">
      <c r="A19" s="0" t="n">
        <v>5.5</v>
      </c>
      <c r="B19" s="0" t="n">
        <v>1460</v>
      </c>
      <c r="C19" s="0" t="n">
        <v>14600</v>
      </c>
    </row>
    <row r="20" customFormat="false" ht="15" hidden="false" customHeight="false" outlineLevel="0" collapsed="false">
      <c r="A20" s="0" t="n">
        <v>6</v>
      </c>
      <c r="B20" s="0" t="n">
        <v>1530</v>
      </c>
      <c r="C20" s="0" t="n">
        <v>15300</v>
      </c>
    </row>
    <row r="21" customFormat="false" ht="15" hidden="false" customHeight="false" outlineLevel="0" collapsed="false">
      <c r="A21" s="0" t="n">
        <v>6.5</v>
      </c>
      <c r="B21" s="0" t="n">
        <v>1610</v>
      </c>
      <c r="C21" s="0" t="n">
        <v>16100</v>
      </c>
    </row>
    <row r="22" customFormat="false" ht="15" hidden="false" customHeight="false" outlineLevel="0" collapsed="false">
      <c r="A22" s="0" t="n">
        <v>7</v>
      </c>
      <c r="B22" s="0" t="n">
        <v>1680</v>
      </c>
      <c r="C22" s="0" t="n">
        <v>16800</v>
      </c>
    </row>
    <row r="23" customFormat="false" ht="15" hidden="false" customHeight="false" outlineLevel="0" collapsed="false">
      <c r="A23" s="0" t="n">
        <v>7.5</v>
      </c>
      <c r="B23" s="0" t="n">
        <v>1760</v>
      </c>
      <c r="C23" s="0" t="n">
        <v>17600</v>
      </c>
    </row>
    <row r="24" customFormat="false" ht="15" hidden="false" customHeight="false" outlineLevel="0" collapsed="false">
      <c r="A24" s="0" t="n">
        <v>8</v>
      </c>
      <c r="B24" s="0" t="n">
        <v>1830</v>
      </c>
      <c r="C24" s="0" t="n">
        <v>18300</v>
      </c>
    </row>
    <row r="25" customFormat="false" ht="15" hidden="false" customHeight="false" outlineLevel="0" collapsed="false">
      <c r="A25" s="0" t="n">
        <v>8.5</v>
      </c>
      <c r="B25" s="0" t="n">
        <v>1900</v>
      </c>
      <c r="C25" s="0" t="n">
        <v>19000</v>
      </c>
    </row>
    <row r="26" customFormat="false" ht="15" hidden="false" customHeight="false" outlineLevel="0" collapsed="false">
      <c r="A26" s="0" t="n">
        <v>9</v>
      </c>
      <c r="B26" s="0" t="n">
        <v>1980</v>
      </c>
      <c r="C26" s="0" t="n">
        <v>19800</v>
      </c>
    </row>
    <row r="27" customFormat="false" ht="15" hidden="false" customHeight="false" outlineLevel="0" collapsed="false">
      <c r="A27" s="0" t="n">
        <v>9.5</v>
      </c>
      <c r="B27" s="0" t="n">
        <v>2040</v>
      </c>
      <c r="C27" s="0" t="n">
        <v>20400</v>
      </c>
    </row>
    <row r="28" customFormat="false" ht="15" hidden="false" customHeight="false" outlineLevel="0" collapsed="false">
      <c r="A28" s="0" t="n">
        <v>10</v>
      </c>
      <c r="B28" s="0" t="n">
        <v>2120</v>
      </c>
      <c r="C28" s="0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2026-07-19T14:31:23Z</dcterms:created>
  <dc:creator>openpyxl</dc:creator>
  <dc:description/>
  <dc:language>en-US</dc:language>
  <cp:lastModifiedBy/>
  <dcterms:modified xsi:type="dcterms:W3CDTF">2026-07-19T14:31:23Z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