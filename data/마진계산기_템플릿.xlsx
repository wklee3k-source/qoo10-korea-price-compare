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<sst xmlns="http://schemas.openxmlformats.org/spreadsheetml/2006/main" count="85" uniqueCount="72">
  <si>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</si>
  <si>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</si>
  <si>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</si>
  <si>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</si>
  <si>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</si>
  <si>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</si>
  <si>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</si>
  <si>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</si>
  <si>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</si>
  <si>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</si>
  <si>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</si>
  <si>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</si>
  <si>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</si>
  <si>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</si>
  <si>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</si>
  <si>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</si>
  <si>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</si>
  <si>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</si>
  <si>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</si>
  <si>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</si>
  <si>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</si>
  <si>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</si>
  <si>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</si>
  <si>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</si>
  <si>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</t>
    </r>
    <r>
      <rPr>
        <sz val="11"/>
        <color theme="1"/>
        <rFont val="Noto Sans CJK SC"/>
        <family val="2"/>
      </rPr>
      <t xml:space="preserve">하트핑크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</si>
  <si>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</si>
  <si>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</si>
  <si>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</si>
  <si>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</si>
  <si>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</si>
  <si>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</si>
  <si>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269.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</si>
  <si>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</si>
  <si>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</si>
  <si>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</si>
  <si>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</si>
  <si>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</si>
  <si>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270.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</si>
  <si>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</si>
  <si>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</si>
  <si>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</si>
  <si>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</si>
  <si>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</si>
  <si>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</si>
  <si>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</si>
  <si>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</si>
  <si>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</si>
  <si>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</si>
  <si>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</si>
  <si>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</si>
  <si>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</si>
  <si>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</si>
  <si>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</si>
  <si>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</si>
  <si>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</si>
  <si>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</si>
  <si>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</si>
  <si>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</si>
  <si>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</si>
  <si>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</si>
  <si>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</si>
  <si>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274.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</si>
  <si>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</si>
  <si>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</si>
  <si>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</si>
  <si>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</si>
  <si>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</si>
  <si>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※ 무게는 실제 제품 내용물 추정 무게 × 2(포장 감안)를 kse요율표 구간에 올림 적용한 값입니다.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</si>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</sst>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6.51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0.25</v>
      </c>
      <c r="K3" s="11" t="n">
        <v>20000</v>
      </c>
      <c r="L3" s="12" t="n">
        <f aca="false">(K3+P3+Q3+R3-K3/11)/(1-V3-O3)/N3*100</f>
        <v>3753.92078681552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5250</v>
      </c>
      <c r="R3" s="16" t="n">
        <v>165</v>
      </c>
      <c r="S3" s="16" t="n">
        <f aca="false">(L3+M3)*N3/100*(1-O3)-K3-P3-Q3-R3</f>
        <v>2461.28787878787</v>
      </c>
      <c r="T3" s="16" t="n">
        <f aca="false">ROUNDUP((K3+P3)*0.090909,0)</f>
        <v>2008</v>
      </c>
      <c r="U3" s="16" t="n">
        <f aca="false">S3+T3</f>
        <v>4469.28787878787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30</v>
      </c>
      <c r="J4" s="10" t="n">
        <v>0.25</v>
      </c>
      <c r="K4" s="11" t="n">
        <v>32000</v>
      </c>
      <c r="L4" s="12" t="n">
        <f aca="false">(K4+P4+Q4+R4-K4/11)/(1-V4-O4)/N4*100</f>
        <v>5348.81711855396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5250</v>
      </c>
      <c r="R4" s="16" t="n">
        <v>165</v>
      </c>
      <c r="S4" s="16" t="n">
        <f aca="false">(L4+M4)*N4/100*(1-O4)-K4-P4-Q4-R4</f>
        <v>3188.56060606059</v>
      </c>
      <c r="T4" s="16" t="n">
        <f aca="false">ROUNDUP((K4+P4)*0.090909,0)</f>
        <v>3099</v>
      </c>
      <c r="U4" s="16" t="n">
        <f aca="false">S4+T4</f>
        <v>6287.56060606059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37</v>
      </c>
      <c r="D5" s="5" t="s">
        <v>38</v>
      </c>
      <c r="E5" s="5" t="s">
        <v>39</v>
      </c>
      <c r="F5" s="7" t="s">
        <v>40</v>
      </c>
      <c r="G5" s="5" t="s">
        <v>41</v>
      </c>
      <c r="H5" s="8" t="s">
        <v>42</v>
      </c>
      <c r="I5" s="9" t="s">
        <v>30</v>
      </c>
      <c r="J5" s="10" t="n">
        <v>0.75</v>
      </c>
      <c r="K5" s="11" t="n">
        <v>20800</v>
      </c>
      <c r="L5" s="12" t="n">
        <f aca="false">(K5+P5+Q5+R5-K5/11)/(1-V5-O5)/N5*100</f>
        <v>4086.85539606592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6800</v>
      </c>
      <c r="R5" s="16" t="n">
        <v>165</v>
      </c>
      <c r="S5" s="16" t="n">
        <f aca="false">(L5+M5)*N5/100*(1-O5)-K5-P5-Q5-R5</f>
        <v>2768.10606060605</v>
      </c>
      <c r="T5" s="16" t="n">
        <f aca="false">ROUNDUP((K5+P5)*0.090909,0)</f>
        <v>2080</v>
      </c>
      <c r="U5" s="16" t="n">
        <f aca="false">S5+T5</f>
        <v>4848.10606060605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43</v>
      </c>
      <c r="D6" s="5" t="s">
        <v>44</v>
      </c>
      <c r="E6" s="5" t="s">
        <v>45</v>
      </c>
      <c r="F6" s="7" t="s">
        <v>46</v>
      </c>
      <c r="G6" s="8" t="s">
        <v>47</v>
      </c>
      <c r="H6" s="8" t="s">
        <v>48</v>
      </c>
      <c r="I6" s="9" t="s">
        <v>30</v>
      </c>
      <c r="J6" s="10" t="n">
        <v>0.5</v>
      </c>
      <c r="K6" s="11" t="n">
        <v>13000</v>
      </c>
      <c r="L6" s="12" t="n">
        <f aca="false">(K6+P6+Q6+R6-K6/11)/(1-V6-O6)/N6*100</f>
        <v>2918.59383306752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5900</v>
      </c>
      <c r="R6" s="16" t="n">
        <v>165</v>
      </c>
      <c r="S6" s="16" t="n">
        <f aca="false">(L6+M6)*N6/100*(1-O6)-K6-P6-Q6-R6</f>
        <v>2145.37878787879</v>
      </c>
      <c r="T6" s="16" t="n">
        <f aca="false">ROUNDUP((K6+P6)*0.090909,0)</f>
        <v>1371</v>
      </c>
      <c r="U6" s="16" t="n">
        <f aca="false">S6+T6</f>
        <v>3516.37878787879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49</v>
      </c>
      <c r="D7" s="5" t="s">
        <v>50</v>
      </c>
      <c r="E7" s="5" t="s">
        <v>51</v>
      </c>
      <c r="F7" s="7" t="s">
        <v>52</v>
      </c>
      <c r="G7" s="8" t="s">
        <v>53</v>
      </c>
      <c r="H7" s="8" t="s">
        <v>54</v>
      </c>
      <c r="I7" s="9" t="s">
        <v>30</v>
      </c>
      <c r="J7" s="10" t="n">
        <v>0.5</v>
      </c>
      <c r="K7" s="11" t="n">
        <v>19900</v>
      </c>
      <c r="L7" s="12" t="n">
        <f aca="false">(K7+P7+Q7+R7-K7/11)/(1-V7-O7)/N7*100</f>
        <v>3835.65922381712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5900</v>
      </c>
      <c r="R7" s="16" t="n">
        <v>165</v>
      </c>
      <c r="S7" s="16" t="n">
        <f aca="false">(L7+M7)*N7/100*(1-O7)-K7-P7-Q7-R7</f>
        <v>2563.56060606061</v>
      </c>
      <c r="T7" s="16" t="n">
        <f aca="false">ROUNDUP((K7+P7)*0.090909,0)</f>
        <v>1999</v>
      </c>
      <c r="U7" s="16" t="n">
        <f aca="false">S7+T7</f>
        <v>4562.56060606061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55</v>
      </c>
      <c r="D8" s="5" t="s">
        <v>56</v>
      </c>
      <c r="E8" s="5" t="s">
        <v>57</v>
      </c>
      <c r="F8" s="7" t="s">
        <v>58</v>
      </c>
      <c r="G8" s="8" t="s">
        <v>59</v>
      </c>
      <c r="H8" s="8" t="s">
        <v>60</v>
      </c>
      <c r="I8" s="9" t="s">
        <v>30</v>
      </c>
      <c r="J8" s="10" t="n">
        <v>0.25</v>
      </c>
      <c r="K8" s="11" t="n">
        <v>20000</v>
      </c>
      <c r="L8" s="12" t="n">
        <f aca="false">(K8+P8+Q8+R8-K8/11)/(1-V8-O8)/N8*100</f>
        <v>3753.92078681552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5250</v>
      </c>
      <c r="R8" s="16" t="n">
        <v>165</v>
      </c>
      <c r="S8" s="16" t="n">
        <f aca="false">(L8+M8)*N8/100*(1-O8)-K8-P8-Q8-R8</f>
        <v>2461.28787878787</v>
      </c>
      <c r="T8" s="16" t="n">
        <f aca="false">ROUNDUP((K8+P8)*0.090909,0)</f>
        <v>2008</v>
      </c>
      <c r="U8" s="16" t="n">
        <f aca="false">S8+T8</f>
        <v>4469.28787878787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61</v>
      </c>
      <c r="D9" s="5" t="s">
        <v>62</v>
      </c>
      <c r="E9" s="5" t="s">
        <v>63</v>
      </c>
      <c r="F9" s="7" t="s">
        <v>64</v>
      </c>
      <c r="G9" s="5" t="s">
        <v>65</v>
      </c>
      <c r="H9" s="8" t="s">
        <v>66</v>
      </c>
      <c r="I9" s="9" t="s">
        <v>30</v>
      </c>
      <c r="J9" s="10" t="n">
        <v>0.1</v>
      </c>
      <c r="K9" s="11" t="n">
        <v>50000</v>
      </c>
      <c r="L9" s="12" t="n">
        <f aca="false">(K9+P9+Q9+R9-K9/11)/(1-V9-O9)/N9*100</f>
        <v>7631.5124933546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4500</v>
      </c>
      <c r="R9" s="16" t="n">
        <v>165</v>
      </c>
      <c r="S9" s="16" t="n">
        <f aca="false">(L9+M9)*N9/100*(1-O9)-K9-P9-Q9-R9</f>
        <v>4154.4696969697</v>
      </c>
      <c r="T9" s="16" t="n">
        <f aca="false">ROUNDUP((K9+P9)*0.090909,0)</f>
        <v>4735</v>
      </c>
      <c r="U9" s="16" t="n">
        <f aca="false">S9+T9</f>
        <v>8889.4696969697</v>
      </c>
      <c r="V9" s="17" t="n">
        <v>0.12</v>
      </c>
    </row>
    <row r="12" customFormat="false" ht="15" hidden="false" customHeight="true" outlineLevel="0" collapsed="false">
      <c r="A12" s="18" t="s">
        <v>67</v>
      </c>
    </row>
    <row r="13" customFormat="false" ht="15" hidden="false" customHeight="true" outlineLevel="0" collapsed="false">
      <c r="A13" s="18" t="s">
        <v>68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69</v>
      </c>
    </row>
    <row r="3" customFormat="false" ht="16.5" hidden="false" customHeight="true" outlineLevel="0" collapsed="false">
      <c r="A3" s="20" t="s">
        <v>10</v>
      </c>
      <c r="B3" s="20" t="s">
        <v>70</v>
      </c>
      <c r="C3" s="20" t="s">
        <v>71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2026-07-19T14:53:54Z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